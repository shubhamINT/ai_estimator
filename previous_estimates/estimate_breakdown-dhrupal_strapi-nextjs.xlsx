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on Breakdown  - DrupalS" sheetId="1" r:id="rId4"/>
  </sheets>
  <definedNames/>
  <calcPr/>
</workbook>
</file>

<file path=xl/sharedStrings.xml><?xml version="1.0" encoding="utf-8"?>
<sst xmlns="http://schemas.openxmlformats.org/spreadsheetml/2006/main" count="94" uniqueCount="89">
  <si>
    <t>Sample</t>
  </si>
  <si>
    <t>Area</t>
  </si>
  <si>
    <t>Feature / Task Description</t>
  </si>
  <si>
    <t>Optimistic (hrs)</t>
  </si>
  <si>
    <t>Pessimistic (hrs)</t>
  </si>
  <si>
    <t>Most Likely (hrs)</t>
  </si>
  <si>
    <t>Analysis</t>
  </si>
  <si>
    <t>UI Screen Design</t>
  </si>
  <si>
    <t>FRONTEND (NextJS)</t>
  </si>
  <si>
    <t>Summary</t>
  </si>
  <si>
    <t xml:space="preserve">PERT </t>
  </si>
  <si>
    <t>Homepage UI</t>
  </si>
  <si>
    <t>Responsive homepage layout, hero banner, news, vessel search bar</t>
  </si>
  <si>
    <t>Development + Design</t>
  </si>
  <si>
    <t>Vessel List Page</t>
  </si>
  <si>
    <t>Vessel listing (~70K records), pagination, filters, responsive grid</t>
  </si>
  <si>
    <t>QA + Security Check</t>
  </si>
  <si>
    <t>Vessel Detail Page (Overview)</t>
  </si>
  <si>
    <t>Full vessel overview page with 10+ attributes, layout, and image</t>
  </si>
  <si>
    <t>DevOps</t>
  </si>
  <si>
    <t>Vessel Search &amp; Filters</t>
  </si>
  <si>
    <t>Multi-parameter search (name, IMO, flag, type, operator) + autocomplete</t>
  </si>
  <si>
    <t>PM Effort</t>
  </si>
  <si>
    <t>News Listing &amp; Details</t>
  </si>
  <si>
    <t>Integration of Drupal news content with detail view</t>
  </si>
  <si>
    <t>Contingency [official travel expenses/unfortunate change in the projects/purchasing H/W or S/W]</t>
  </si>
  <si>
    <t>Magazines Listing &amp; Details</t>
  </si>
  <si>
    <t>Magazine archive list, preview/download page</t>
  </si>
  <si>
    <t xml:space="preserve">UAT </t>
  </si>
  <si>
    <t>About Us / Contact Pages</t>
  </si>
  <si>
    <t>Static pages, responsive content, contact form validation</t>
  </si>
  <si>
    <t>Total</t>
  </si>
  <si>
    <t>Other Inner Pages</t>
  </si>
  <si>
    <t>Other informative Static informative pages like FRP, Regulations, Privacy Policy, DMCA pages</t>
  </si>
  <si>
    <t>Share Functionality</t>
  </si>
  <si>
    <t>Share in Social Media (Native)</t>
  </si>
  <si>
    <t>Grand Total</t>
  </si>
  <si>
    <t>Form Pages</t>
  </si>
  <si>
    <t>Form and Query Pages - Advertise with Us, Write with Us, Comment Sections etc</t>
  </si>
  <si>
    <t>Global Navigation</t>
  </si>
  <si>
    <t>Header, footer, menus, breadcrumbs, responsive nav</t>
  </si>
  <si>
    <t>API Error/Fallback UI</t>
  </si>
  <si>
    <t>Display message for data unavailability</t>
  </si>
  <si>
    <t xml:space="preserve">Total Timeline </t>
  </si>
  <si>
    <t>12-14 Working Weeks</t>
  </si>
  <si>
    <t xml:space="preserve"> </t>
  </si>
  <si>
    <t>SEO &amp; Analytics Integration</t>
  </si>
  <si>
    <t>Structured metadata, schema, Google Analytics setup</t>
  </si>
  <si>
    <t>Performance Optimization</t>
  </si>
  <si>
    <t>Lazy loading, caching, image optimization</t>
  </si>
  <si>
    <t>BACKEND (Drupal/Node)</t>
  </si>
  <si>
    <t>Drupal Setup</t>
  </si>
  <si>
    <t>Environment configuration, module installation</t>
  </si>
  <si>
    <t>Content Types – News &amp; Magazine</t>
  </si>
  <si>
    <t>Field setup, taxonomy, view templates</t>
  </si>
  <si>
    <t>Content Type – Vessel</t>
  </si>
  <si>
    <t>Create CT with 10+ attributes (IMO key, relationships)</t>
  </si>
  <si>
    <t>Vessel API Integration</t>
  </si>
  <si>
    <t>Connect external API, daily cron sync job</t>
  </si>
  <si>
    <t>API Error Handling &amp; Logs</t>
  </si>
  <si>
    <t>Sync failure logs, error notifications</t>
  </si>
  <si>
    <t>Data Normalization &amp; Variation Handling</t>
  </si>
  <si>
    <t>Handle field inconsistencies, updates</t>
  </si>
  <si>
    <t>REST API Exposure</t>
  </si>
  <si>
    <t>Custom endpoints for NextJS consumption</t>
  </si>
  <si>
    <t>Search API Enhancements</t>
  </si>
  <si>
    <t>Enable multi-parameter queries for search</t>
  </si>
  <si>
    <t>GDPR &amp; Policy Pages</t>
  </si>
  <si>
    <t>Privacy policy, disclaimer setup</t>
  </si>
  <si>
    <t>ADMIN (Drupal /Strapi CMS)</t>
  </si>
  <si>
    <t>User Roles &amp; Permissions</t>
  </si>
  <si>
    <t>Define admin, editor roles</t>
  </si>
  <si>
    <t>Admin Dashboard (API Logs)</t>
  </si>
  <si>
    <t>Display sync success/failure reports</t>
  </si>
  <si>
    <t>Vessel Management</t>
  </si>
  <si>
    <t>Create/Edit vessel data manually in admin</t>
  </si>
  <si>
    <t>Vessel Image Management</t>
  </si>
  <si>
    <t>Upload and manage vessel images (linked to IMO)</t>
  </si>
  <si>
    <t>News &amp; Magazine CRUD</t>
  </si>
  <si>
    <t>Add/edit content, media upload</t>
  </si>
  <si>
    <t>Basic Page Setup</t>
  </si>
  <si>
    <t>Basic Home Page Content Block setup</t>
  </si>
  <si>
    <t>Informative Inner Page Setup</t>
  </si>
  <si>
    <t>Paragraph Module setup and Content Block creation</t>
  </si>
  <si>
    <t>Content Type, Taxonomy Block</t>
  </si>
  <si>
    <t>Content Type and Taxonomy Block Setip</t>
  </si>
  <si>
    <t>Global Settings &amp; Menu Mgmt</t>
  </si>
  <si>
    <t>Navigation menus, SEO meta, footer links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</si>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</sst>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9.0"/>
      <color rgb="FFFF0000"/>
      <name val="Calibri"/>
    </font>
    <font>
      <b/>
      <sz val="9.0"/>
      <color theme="1"/>
      <name val="Calibri"/>
    </font>
    <font>
      <sz val="10.0"/>
      <color theme="1"/>
      <name val="Calibri"/>
    </font>
    <font>
      <b/>
      <color theme="1"/>
      <name val="Arial"/>
      <scheme val="minor"/>
    </font>
    <font>
      <color theme="1"/>
      <name val="Calibri"/>
    </font>
    <font>
      <color theme="1"/>
      <name val="Arial"/>
      <scheme val="minor"/>
    </font>
    <font>
      <sz val="9.0"/>
      <color theme="1"/>
      <name val="Calibri"/>
    </font>
    <font>
      <b/>
      <sz val="10.0"/>
      <color rgb="FF85200C"/>
      <name val="Calibri"/>
    </font>
    <font>
      <b/>
      <color rgb="FF1155CC"/>
      <name val="Calibri"/>
    </font>
    <font>
      <strike/>
      <color theme="1"/>
      <name val="Calibri"/>
    </font>
    <font>
      <color rgb="FF222222"/>
      <name val="Calibri"/>
    </font>
    <font>
      <strike/>
      <sz val="9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5" fillId="0" fontId="7" numFmtId="2" xfId="0" applyAlignment="1" applyBorder="1" applyFont="1" applyNumberFormat="1">
      <alignment horizontal="right" shrinkToFit="0" vertical="center" wrapText="1"/>
    </xf>
    <xf borderId="2" fillId="0" fontId="3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1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" xfId="0" applyAlignment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4" fontId="5" numFmtId="0" xfId="0" applyAlignment="1" applyFill="1" applyFont="1">
      <alignment shrinkToFit="0" vertical="center" wrapText="1"/>
    </xf>
    <xf borderId="4" fillId="4" fontId="5" numFmtId="0" xfId="0" applyAlignment="1" applyBorder="1" applyFont="1">
      <alignment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4" fontId="11" numFmtId="0" xfId="0" applyAlignment="1" applyFont="1">
      <alignment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4" fontId="12" numFmtId="0" xfId="0" applyAlignment="1" applyFont="1">
      <alignment shrinkToFit="0" vertical="center" wrapText="1"/>
    </xf>
    <xf borderId="4" fillId="4" fontId="12" numFmtId="0" xfId="0" applyAlignment="1" applyBorder="1" applyFont="1">
      <alignment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shrinkToFit="0" vertical="center" wrapText="1"/>
    </xf>
    <xf borderId="4" fillId="4" fontId="7" numFmtId="0" xfId="0" applyAlignment="1" applyBorder="1" applyFont="1">
      <alignment shrinkToFit="0" vertical="center" wrapText="1"/>
    </xf>
    <xf borderId="0" fillId="5" fontId="2" numFmtId="0" xfId="0" applyAlignment="1" applyFill="1" applyFont="1">
      <alignment shrinkToFit="0" vertical="center" wrapText="1"/>
    </xf>
    <xf borderId="2" fillId="5" fontId="2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shrinkToFit="0" vertical="center" wrapText="1"/>
    </xf>
    <xf borderId="2" fillId="4" fontId="12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shrinkToFit="0" vertical="center" wrapText="1"/>
    </xf>
    <xf borderId="0" fillId="6" fontId="2" numFmtId="0" xfId="0" applyAlignment="1" applyFill="1" applyFont="1">
      <alignment shrinkToFit="0" vertical="center" wrapText="1"/>
    </xf>
    <xf borderId="6" fillId="6" fontId="2" numFmtId="0" xfId="0" applyAlignment="1" applyBorder="1" applyFont="1">
      <alignment shrinkToFit="0" vertical="center" wrapText="1"/>
    </xf>
    <xf borderId="7" fillId="6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51.63"/>
    <col customWidth="1" min="3" max="3" width="15.25"/>
    <col customWidth="1" min="7" max="7" width="26.25"/>
  </cols>
  <sheetData>
    <row r="1" ht="15.75" customHeight="1">
      <c r="A1" s="1"/>
      <c r="B1" s="2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6</v>
      </c>
      <c r="B3" s="8"/>
      <c r="C3" s="9">
        <v>40.0</v>
      </c>
      <c r="D3" s="9">
        <v>80.0</v>
      </c>
      <c r="E3" s="9">
        <v>64.0</v>
      </c>
      <c r="F3" s="6"/>
      <c r="G3" s="10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7</v>
      </c>
      <c r="B4" s="8"/>
      <c r="C4" s="9">
        <v>80.0</v>
      </c>
      <c r="D4" s="9">
        <v>120.0</v>
      </c>
      <c r="E4" s="9">
        <v>100.0</v>
      </c>
      <c r="F4" s="6"/>
      <c r="G4" s="10"/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2" t="s">
        <v>8</v>
      </c>
      <c r="B5" s="8"/>
      <c r="C5" s="13"/>
      <c r="D5" s="13"/>
      <c r="E5" s="13"/>
      <c r="F5" s="6"/>
      <c r="G5" s="14" t="s">
        <v>9</v>
      </c>
      <c r="H5" s="15" t="s">
        <v>10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11</v>
      </c>
      <c r="B6" s="7" t="s">
        <v>12</v>
      </c>
      <c r="C6" s="9">
        <v>16.0</v>
      </c>
      <c r="D6" s="9">
        <v>28.0</v>
      </c>
      <c r="E6" s="9">
        <v>24.0</v>
      </c>
      <c r="F6" s="6"/>
      <c r="G6" s="16" t="s">
        <v>13</v>
      </c>
      <c r="H6" s="17">
        <f>(C42+E42+(D42*4))/6</f>
        <v>816.5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14</v>
      </c>
      <c r="B7" s="7" t="s">
        <v>15</v>
      </c>
      <c r="C7" s="9">
        <v>20.0</v>
      </c>
      <c r="D7" s="9">
        <v>36.0</v>
      </c>
      <c r="E7" s="9">
        <v>28.0</v>
      </c>
      <c r="F7" s="6"/>
      <c r="G7" s="16" t="s">
        <v>16</v>
      </c>
      <c r="H7" s="17">
        <f>$H$6*20%</f>
        <v>163.3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17</v>
      </c>
      <c r="B8" s="7" t="s">
        <v>18</v>
      </c>
      <c r="C8" s="9">
        <v>20.0</v>
      </c>
      <c r="D8" s="9">
        <v>36.0</v>
      </c>
      <c r="E8" s="9">
        <v>28.0</v>
      </c>
      <c r="F8" s="6"/>
      <c r="G8" s="16" t="s">
        <v>19</v>
      </c>
      <c r="H8" s="17">
        <f>$H$6*5%</f>
        <v>40.825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20</v>
      </c>
      <c r="B9" s="7" t="s">
        <v>21</v>
      </c>
      <c r="C9" s="9">
        <v>22.0</v>
      </c>
      <c r="D9" s="9">
        <v>40.0</v>
      </c>
      <c r="E9" s="9">
        <v>32.0</v>
      </c>
      <c r="F9" s="6"/>
      <c r="G9" s="16" t="s">
        <v>22</v>
      </c>
      <c r="H9" s="17">
        <f>H6*15%</f>
        <v>122.475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23</v>
      </c>
      <c r="B10" s="7" t="s">
        <v>24</v>
      </c>
      <c r="C10" s="9">
        <v>12.0</v>
      </c>
      <c r="D10" s="9">
        <v>20.0</v>
      </c>
      <c r="E10" s="9">
        <v>16.0</v>
      </c>
      <c r="F10" s="6"/>
      <c r="G10" s="18" t="s">
        <v>25</v>
      </c>
      <c r="H10" s="17">
        <f>$H$6*8%</f>
        <v>65.32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26</v>
      </c>
      <c r="B11" s="7" t="s">
        <v>27</v>
      </c>
      <c r="C11" s="9">
        <v>12.0</v>
      </c>
      <c r="D11" s="9">
        <v>20.0</v>
      </c>
      <c r="E11" s="9">
        <v>16.0</v>
      </c>
      <c r="F11" s="6"/>
      <c r="G11" s="16" t="s">
        <v>28</v>
      </c>
      <c r="H11" s="17">
        <f>$H$6*10%</f>
        <v>81.65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29</v>
      </c>
      <c r="B12" s="7" t="s">
        <v>30</v>
      </c>
      <c r="C12" s="9">
        <v>12.0</v>
      </c>
      <c r="D12" s="9">
        <v>20.0</v>
      </c>
      <c r="E12" s="9">
        <v>16.0</v>
      </c>
      <c r="F12" s="6"/>
      <c r="G12" s="19" t="s">
        <v>31</v>
      </c>
      <c r="H12" s="20">
        <f>ROUND(SUM(H6:H11),0)</f>
        <v>1290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32</v>
      </c>
      <c r="B13" s="7" t="s">
        <v>33</v>
      </c>
      <c r="C13" s="9">
        <v>12.0</v>
      </c>
      <c r="D13" s="9">
        <v>20.0</v>
      </c>
      <c r="E13" s="9">
        <v>16.0</v>
      </c>
      <c r="F13" s="6"/>
      <c r="G13" s="21"/>
      <c r="H13" s="2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34</v>
      </c>
      <c r="B14" s="7" t="s">
        <v>35</v>
      </c>
      <c r="C14" s="9">
        <v>12.0</v>
      </c>
      <c r="D14" s="9">
        <v>20.0</v>
      </c>
      <c r="E14" s="9">
        <v>16.0</v>
      </c>
      <c r="F14" s="6"/>
      <c r="G14" s="22" t="s">
        <v>36</v>
      </c>
      <c r="H14" s="23">
        <f>H12+H13</f>
        <v>1290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37</v>
      </c>
      <c r="B15" s="7" t="s">
        <v>38</v>
      </c>
      <c r="C15" s="9">
        <v>16.0</v>
      </c>
      <c r="D15" s="9">
        <v>28.0</v>
      </c>
      <c r="E15" s="9">
        <v>24.0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39</v>
      </c>
      <c r="B16" s="7" t="s">
        <v>40</v>
      </c>
      <c r="C16" s="9">
        <v>16.0</v>
      </c>
      <c r="D16" s="9">
        <v>28.0</v>
      </c>
      <c r="E16" s="9">
        <v>24.0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41</v>
      </c>
      <c r="B17" s="7" t="s">
        <v>42</v>
      </c>
      <c r="C17" s="9">
        <v>12.0</v>
      </c>
      <c r="D17" s="9">
        <v>20.0</v>
      </c>
      <c r="E17" s="9">
        <v>16.0</v>
      </c>
      <c r="F17" s="6"/>
      <c r="G17" s="24" t="s">
        <v>43</v>
      </c>
      <c r="H17" s="25" t="s">
        <v>44</v>
      </c>
      <c r="I17" s="6" t="s">
        <v>45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46</v>
      </c>
      <c r="B18" s="7" t="s">
        <v>47</v>
      </c>
      <c r="C18" s="9">
        <v>8.0</v>
      </c>
      <c r="D18" s="9">
        <v>12.0</v>
      </c>
      <c r="E18" s="9">
        <v>10.0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48</v>
      </c>
      <c r="B19" s="7" t="s">
        <v>49</v>
      </c>
      <c r="C19" s="9">
        <v>16.0</v>
      </c>
      <c r="D19" s="9">
        <v>28.0</v>
      </c>
      <c r="E19" s="9">
        <v>24.0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50</v>
      </c>
      <c r="B20" s="8"/>
      <c r="C20" s="13"/>
      <c r="D20" s="13"/>
      <c r="E20" s="1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51</v>
      </c>
      <c r="B21" s="7" t="s">
        <v>52</v>
      </c>
      <c r="C21" s="9">
        <v>8.0</v>
      </c>
      <c r="D21" s="9">
        <v>12.0</v>
      </c>
      <c r="E21" s="9">
        <v>10.0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53</v>
      </c>
      <c r="B22" s="7" t="s">
        <v>54</v>
      </c>
      <c r="C22" s="9">
        <v>12.0</v>
      </c>
      <c r="D22" s="9">
        <v>20.0</v>
      </c>
      <c r="E22" s="9">
        <v>16.0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32</v>
      </c>
      <c r="B23" s="7" t="s">
        <v>33</v>
      </c>
      <c r="C23" s="9">
        <v>12.0</v>
      </c>
      <c r="D23" s="9">
        <v>20.0</v>
      </c>
      <c r="E23" s="9">
        <v>16.0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37</v>
      </c>
      <c r="B24" s="7" t="s">
        <v>38</v>
      </c>
      <c r="C24" s="9">
        <v>16.0</v>
      </c>
      <c r="D24" s="9">
        <v>28.0</v>
      </c>
      <c r="E24" s="9">
        <v>24.0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55</v>
      </c>
      <c r="B25" s="7" t="s">
        <v>56</v>
      </c>
      <c r="C25" s="9">
        <v>16.0</v>
      </c>
      <c r="D25" s="9">
        <v>28.0</v>
      </c>
      <c r="E25" s="9">
        <v>24.0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57</v>
      </c>
      <c r="B26" s="7" t="s">
        <v>58</v>
      </c>
      <c r="C26" s="9">
        <v>16.0</v>
      </c>
      <c r="D26" s="9">
        <v>28.0</v>
      </c>
      <c r="E26" s="9">
        <v>24.0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59</v>
      </c>
      <c r="B27" s="7" t="s">
        <v>60</v>
      </c>
      <c r="C27" s="9">
        <v>12.0</v>
      </c>
      <c r="D27" s="9">
        <v>20.0</v>
      </c>
      <c r="E27" s="9">
        <v>16.0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61</v>
      </c>
      <c r="B28" s="7" t="s">
        <v>62</v>
      </c>
      <c r="C28" s="9">
        <v>12.0</v>
      </c>
      <c r="D28" s="9">
        <v>20.0</v>
      </c>
      <c r="E28" s="9">
        <v>16.0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63</v>
      </c>
      <c r="B29" s="7" t="s">
        <v>64</v>
      </c>
      <c r="C29" s="9">
        <v>10.0</v>
      </c>
      <c r="D29" s="9">
        <v>16.0</v>
      </c>
      <c r="E29" s="9">
        <v>14.0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65</v>
      </c>
      <c r="B30" s="7" t="s">
        <v>66</v>
      </c>
      <c r="C30" s="9">
        <v>10.0</v>
      </c>
      <c r="D30" s="9">
        <v>16.0</v>
      </c>
      <c r="E30" s="9">
        <v>14.0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67</v>
      </c>
      <c r="B31" s="7" t="s">
        <v>68</v>
      </c>
      <c r="C31" s="9">
        <v>5.0</v>
      </c>
      <c r="D31" s="9">
        <v>8.0</v>
      </c>
      <c r="E31" s="9">
        <v>6.0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2" t="s">
        <v>69</v>
      </c>
      <c r="B32" s="8"/>
      <c r="C32" s="13"/>
      <c r="D32" s="13"/>
      <c r="E32" s="13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70</v>
      </c>
      <c r="B33" s="7" t="s">
        <v>71</v>
      </c>
      <c r="C33" s="9">
        <v>8.0</v>
      </c>
      <c r="D33" s="9">
        <v>12.0</v>
      </c>
      <c r="E33" s="9">
        <v>10.0</v>
      </c>
      <c r="F33" s="6"/>
      <c r="G33" s="6">
        <f>(C42+E42+(D42*4))/6</f>
        <v>816.5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72</v>
      </c>
      <c r="B34" s="7" t="s">
        <v>73</v>
      </c>
      <c r="C34" s="9">
        <v>12.0</v>
      </c>
      <c r="D34" s="9">
        <v>20.0</v>
      </c>
      <c r="E34" s="9">
        <v>16.0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74</v>
      </c>
      <c r="B35" s="7" t="s">
        <v>75</v>
      </c>
      <c r="C35" s="9">
        <v>12.0</v>
      </c>
      <c r="D35" s="9">
        <v>20.0</v>
      </c>
      <c r="E35" s="9">
        <v>16.0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76</v>
      </c>
      <c r="B36" s="7" t="s">
        <v>77</v>
      </c>
      <c r="C36" s="9">
        <v>10.0</v>
      </c>
      <c r="D36" s="9">
        <v>16.0</v>
      </c>
      <c r="E36" s="9">
        <v>14.0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78</v>
      </c>
      <c r="B37" s="7" t="s">
        <v>79</v>
      </c>
      <c r="C37" s="9">
        <v>10.0</v>
      </c>
      <c r="D37" s="9">
        <v>16.0</v>
      </c>
      <c r="E37" s="9">
        <v>14.0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80</v>
      </c>
      <c r="B38" s="7" t="s">
        <v>81</v>
      </c>
      <c r="C38" s="9">
        <v>8.0</v>
      </c>
      <c r="D38" s="9">
        <v>12.0</v>
      </c>
      <c r="E38" s="9">
        <v>10.0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82</v>
      </c>
      <c r="B39" s="7" t="s">
        <v>83</v>
      </c>
      <c r="C39" s="9">
        <v>8.0</v>
      </c>
      <c r="D39" s="9">
        <v>12.0</v>
      </c>
      <c r="E39" s="9">
        <v>10.0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84</v>
      </c>
      <c r="B40" s="7" t="s">
        <v>85</v>
      </c>
      <c r="C40" s="9">
        <v>8.0</v>
      </c>
      <c r="D40" s="9">
        <v>12.0</v>
      </c>
      <c r="E40" s="9">
        <v>10.0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86</v>
      </c>
      <c r="B41" s="7" t="s">
        <v>87</v>
      </c>
      <c r="C41" s="9">
        <v>8.0</v>
      </c>
      <c r="D41" s="9">
        <v>12.0</v>
      </c>
      <c r="E41" s="9">
        <v>10.0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26" t="s">
        <v>31</v>
      </c>
      <c r="C42" s="27">
        <f t="shared" ref="C42:E42" si="1">sum(C3:C41)</f>
        <v>539</v>
      </c>
      <c r="D42" s="27">
        <f t="shared" si="1"/>
        <v>904</v>
      </c>
      <c r="E42" s="27">
        <f t="shared" si="1"/>
        <v>744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28"/>
      <c r="B43" s="29"/>
      <c r="C43" s="30"/>
      <c r="D43" s="31"/>
      <c r="E43" s="3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28"/>
      <c r="B44" s="29"/>
      <c r="C44" s="30"/>
      <c r="D44" s="31"/>
      <c r="E44" s="3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28"/>
      <c r="B45" s="29"/>
      <c r="C45" s="30"/>
      <c r="D45" s="31"/>
      <c r="E45" s="3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28"/>
      <c r="B46" s="29"/>
      <c r="C46" s="32"/>
      <c r="D46" s="31"/>
      <c r="E46" s="3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28"/>
      <c r="B47" s="29"/>
      <c r="C47" s="32"/>
      <c r="D47" s="31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28"/>
      <c r="B48" s="29"/>
      <c r="C48" s="30"/>
      <c r="D48" s="31"/>
      <c r="E48" s="3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28"/>
      <c r="B49" s="29"/>
      <c r="C49" s="30"/>
      <c r="D49" s="31"/>
      <c r="E49" s="3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4"/>
      <c r="B50" s="35"/>
      <c r="C50" s="30"/>
      <c r="D50" s="31"/>
      <c r="E50" s="3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4"/>
      <c r="B51" s="35"/>
      <c r="C51" s="30"/>
      <c r="D51" s="31"/>
      <c r="E51" s="3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6"/>
      <c r="B52" s="37"/>
      <c r="C52" s="38"/>
      <c r="D52" s="39"/>
      <c r="E52" s="4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4"/>
      <c r="B53" s="35"/>
      <c r="C53" s="30"/>
      <c r="D53" s="31"/>
      <c r="E53" s="3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28"/>
      <c r="B54" s="29"/>
      <c r="C54" s="30"/>
      <c r="D54" s="31"/>
      <c r="E54" s="3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41"/>
      <c r="B55" s="42"/>
      <c r="C55" s="30"/>
      <c r="D55" s="31"/>
      <c r="E55" s="3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41"/>
      <c r="B56" s="42"/>
      <c r="C56" s="30"/>
      <c r="D56" s="31"/>
      <c r="E56" s="3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41"/>
      <c r="B57" s="42"/>
      <c r="C57" s="30"/>
      <c r="D57" s="31"/>
      <c r="E57" s="3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43"/>
      <c r="B58" s="44"/>
      <c r="C58" s="45"/>
      <c r="D58" s="46"/>
      <c r="E58" s="4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41"/>
      <c r="B59" s="48"/>
      <c r="C59" s="30"/>
      <c r="D59" s="31"/>
      <c r="E59" s="3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41"/>
      <c r="B60" s="48"/>
      <c r="C60" s="30"/>
      <c r="D60" s="31"/>
      <c r="E60" s="3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41"/>
      <c r="B61" s="48"/>
      <c r="C61" s="32"/>
      <c r="D61" s="31"/>
      <c r="E61" s="3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41"/>
      <c r="B62" s="48"/>
      <c r="C62" s="32"/>
      <c r="D62" s="31"/>
      <c r="E62" s="3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41"/>
      <c r="B63" s="48"/>
      <c r="C63" s="30"/>
      <c r="D63" s="31"/>
      <c r="E63" s="3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41"/>
      <c r="B64" s="48"/>
      <c r="C64" s="30"/>
      <c r="D64" s="31"/>
      <c r="E64" s="3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41"/>
      <c r="B65" s="48"/>
      <c r="C65" s="30"/>
      <c r="D65" s="31"/>
      <c r="E65" s="3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41"/>
      <c r="B66" s="48"/>
      <c r="C66" s="32"/>
      <c r="D66" s="31"/>
      <c r="E66" s="3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41"/>
      <c r="B67" s="48"/>
      <c r="C67" s="32"/>
      <c r="D67" s="31"/>
      <c r="E67" s="3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41"/>
      <c r="B68" s="48"/>
      <c r="C68" s="30"/>
      <c r="D68" s="31"/>
      <c r="E68" s="3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41"/>
      <c r="B69" s="48"/>
      <c r="C69" s="32"/>
      <c r="D69" s="31"/>
      <c r="E69" s="3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41"/>
      <c r="B70" s="48"/>
      <c r="C70" s="30"/>
      <c r="D70" s="31"/>
      <c r="E70" s="3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41"/>
      <c r="B71" s="48"/>
      <c r="C71" s="30"/>
      <c r="D71" s="31"/>
      <c r="E71" s="3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41"/>
      <c r="B72" s="48"/>
      <c r="C72" s="30"/>
      <c r="D72" s="31"/>
      <c r="E72" s="3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41"/>
      <c r="B73" s="48"/>
      <c r="C73" s="30"/>
      <c r="D73" s="31"/>
      <c r="E73" s="3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41"/>
      <c r="B74" s="48"/>
      <c r="C74" s="30"/>
      <c r="D74" s="31"/>
      <c r="E74" s="3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41"/>
      <c r="B75" s="48"/>
      <c r="C75" s="30"/>
      <c r="D75" s="31"/>
      <c r="E75" s="3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41"/>
      <c r="B76" s="48"/>
      <c r="C76" s="30"/>
      <c r="D76" s="31"/>
      <c r="E76" s="3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41"/>
      <c r="B77" s="48"/>
      <c r="C77" s="30"/>
      <c r="D77" s="31"/>
      <c r="E77" s="3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41"/>
      <c r="B78" s="48"/>
      <c r="C78" s="30"/>
      <c r="D78" s="31"/>
      <c r="E78" s="3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41"/>
      <c r="B79" s="48"/>
      <c r="C79" s="30"/>
      <c r="D79" s="31"/>
      <c r="E79" s="3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41"/>
      <c r="B80" s="48"/>
      <c r="C80" s="30"/>
      <c r="D80" s="31"/>
      <c r="E80" s="3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41"/>
      <c r="B81" s="48"/>
      <c r="C81" s="30"/>
      <c r="D81" s="31"/>
      <c r="E81" s="3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41"/>
      <c r="B82" s="48"/>
      <c r="C82" s="30"/>
      <c r="D82" s="31"/>
      <c r="E82" s="3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41"/>
      <c r="B83" s="48"/>
      <c r="C83" s="32"/>
      <c r="D83" s="31"/>
      <c r="E83" s="3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41"/>
      <c r="B84" s="48"/>
      <c r="C84" s="30"/>
      <c r="D84" s="31"/>
      <c r="E84" s="3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41"/>
      <c r="B85" s="48"/>
      <c r="C85" s="30"/>
      <c r="D85" s="31"/>
      <c r="E85" s="3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41"/>
      <c r="B86" s="48"/>
      <c r="C86" s="30"/>
      <c r="D86" s="31"/>
      <c r="E86" s="3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41"/>
      <c r="B87" s="48"/>
      <c r="C87" s="30"/>
      <c r="D87" s="31"/>
      <c r="E87" s="3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41"/>
      <c r="B88" s="48"/>
      <c r="C88" s="30"/>
      <c r="D88" s="31"/>
      <c r="E88" s="3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41"/>
      <c r="B89" s="48"/>
      <c r="C89" s="30"/>
      <c r="D89" s="31"/>
      <c r="E89" s="3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41"/>
      <c r="B90" s="48"/>
      <c r="C90" s="30"/>
      <c r="D90" s="31"/>
      <c r="E90" s="3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41"/>
      <c r="B91" s="48"/>
      <c r="C91" s="30"/>
      <c r="D91" s="31"/>
      <c r="E91" s="3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41"/>
      <c r="B92" s="48"/>
      <c r="C92" s="30"/>
      <c r="D92" s="31"/>
      <c r="E92" s="3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41"/>
      <c r="B93" s="48"/>
      <c r="C93" s="30"/>
      <c r="D93" s="31"/>
      <c r="E93" s="3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41"/>
      <c r="B94" s="48"/>
      <c r="C94" s="30"/>
      <c r="D94" s="31"/>
      <c r="E94" s="3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41"/>
      <c r="B95" s="48"/>
      <c r="C95" s="30"/>
      <c r="D95" s="31"/>
      <c r="E95" s="3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41"/>
      <c r="B96" s="48"/>
      <c r="C96" s="30"/>
      <c r="D96" s="31"/>
      <c r="E96" s="3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6"/>
      <c r="B97" s="49"/>
      <c r="C97" s="38"/>
      <c r="D97" s="39"/>
      <c r="E97" s="4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41"/>
      <c r="B98" s="48"/>
      <c r="C98" s="32"/>
      <c r="D98" s="31"/>
      <c r="E98" s="3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43"/>
      <c r="B99" s="44"/>
      <c r="C99" s="45"/>
      <c r="D99" s="46"/>
      <c r="E99" s="4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41"/>
      <c r="B100" s="48"/>
      <c r="C100" s="30"/>
      <c r="D100" s="31"/>
      <c r="E100" s="3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41"/>
      <c r="B101" s="48"/>
      <c r="C101" s="32"/>
      <c r="D101" s="31"/>
      <c r="E101" s="3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41"/>
      <c r="B102" s="48"/>
      <c r="C102" s="32"/>
      <c r="D102" s="31"/>
      <c r="E102" s="3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41"/>
      <c r="B103" s="48"/>
      <c r="C103" s="32"/>
      <c r="D103" s="31"/>
      <c r="E103" s="3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41"/>
      <c r="B104" s="48"/>
      <c r="C104" s="32"/>
      <c r="D104" s="31"/>
      <c r="E104" s="3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41"/>
      <c r="B105" s="48"/>
      <c r="C105" s="32"/>
      <c r="D105" s="31"/>
      <c r="E105" s="32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41"/>
      <c r="B106" s="48"/>
      <c r="C106" s="32"/>
      <c r="D106" s="31"/>
      <c r="E106" s="3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41"/>
      <c r="B107" s="48"/>
      <c r="C107" s="30"/>
      <c r="D107" s="31"/>
      <c r="E107" s="32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41"/>
      <c r="B108" s="48"/>
      <c r="C108" s="30"/>
      <c r="D108" s="31"/>
      <c r="E108" s="3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41"/>
      <c r="B109" s="48"/>
      <c r="C109" s="32"/>
      <c r="D109" s="31"/>
      <c r="E109" s="32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41"/>
      <c r="B110" s="48"/>
      <c r="C110" s="32"/>
      <c r="D110" s="31"/>
      <c r="E110" s="3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41"/>
      <c r="B111" s="48"/>
      <c r="C111" s="32"/>
      <c r="D111" s="31"/>
      <c r="E111" s="32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41"/>
      <c r="B112" s="48"/>
      <c r="C112" s="32"/>
      <c r="D112" s="31"/>
      <c r="E112" s="3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41"/>
      <c r="B113" s="42"/>
      <c r="C113" s="32"/>
      <c r="D113" s="31"/>
      <c r="E113" s="32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41"/>
      <c r="B114" s="42"/>
      <c r="C114" s="32"/>
      <c r="D114" s="31"/>
      <c r="E114" s="3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41"/>
      <c r="B115" s="42"/>
      <c r="C115" s="32"/>
      <c r="D115" s="31"/>
      <c r="E115" s="32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41"/>
      <c r="B116" s="42"/>
      <c r="C116" s="32"/>
      <c r="D116" s="31"/>
      <c r="E116" s="3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41"/>
      <c r="B117" s="42"/>
      <c r="C117" s="32"/>
      <c r="D117" s="31"/>
      <c r="E117" s="32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41"/>
      <c r="B118" s="42"/>
      <c r="C118" s="32"/>
      <c r="D118" s="31"/>
      <c r="E118" s="3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41"/>
      <c r="B119" s="42"/>
      <c r="C119" s="32"/>
      <c r="D119" s="31"/>
      <c r="E119" s="32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41"/>
      <c r="B120" s="42"/>
      <c r="C120" s="30"/>
      <c r="D120" s="31"/>
      <c r="E120" s="3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41"/>
      <c r="B121" s="42"/>
      <c r="C121" s="30"/>
      <c r="D121" s="31"/>
      <c r="E121" s="32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41"/>
      <c r="B122" s="42"/>
      <c r="C122" s="32"/>
      <c r="D122" s="31"/>
      <c r="E122" s="3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41"/>
      <c r="B123" s="42"/>
      <c r="C123" s="30"/>
      <c r="D123" s="31"/>
      <c r="E123" s="32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41"/>
      <c r="B124" s="42"/>
      <c r="C124" s="32"/>
      <c r="D124" s="31"/>
      <c r="E124" s="3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41"/>
      <c r="B125" s="42"/>
      <c r="C125" s="32"/>
      <c r="D125" s="31"/>
      <c r="E125" s="32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41"/>
      <c r="B126" s="42"/>
      <c r="C126" s="32"/>
      <c r="D126" s="31"/>
      <c r="E126" s="3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41"/>
      <c r="B127" s="42"/>
      <c r="C127" s="32"/>
      <c r="D127" s="31"/>
      <c r="E127" s="32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41"/>
      <c r="B128" s="42"/>
      <c r="C128" s="30"/>
      <c r="D128" s="31"/>
      <c r="E128" s="3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41"/>
      <c r="B129" s="42"/>
      <c r="C129" s="32"/>
      <c r="D129" s="31"/>
      <c r="E129" s="32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41"/>
      <c r="B130" s="42"/>
      <c r="C130" s="32"/>
      <c r="D130" s="31"/>
      <c r="E130" s="3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43"/>
      <c r="B131" s="50"/>
      <c r="C131" s="45"/>
      <c r="D131" s="45"/>
      <c r="E131" s="4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41"/>
      <c r="B132" s="42"/>
      <c r="C132" s="30"/>
      <c r="D132" s="30"/>
      <c r="E132" s="3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41"/>
      <c r="B133" s="48"/>
      <c r="C133" s="30"/>
      <c r="D133" s="30"/>
      <c r="E133" s="3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41"/>
      <c r="B134" s="48"/>
      <c r="C134" s="30"/>
      <c r="D134" s="30"/>
      <c r="E134" s="3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41"/>
      <c r="B135" s="42"/>
      <c r="C135" s="30"/>
      <c r="D135" s="30"/>
      <c r="E135" s="3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43"/>
      <c r="B136" s="50"/>
      <c r="C136" s="45"/>
      <c r="D136" s="45"/>
      <c r="E136" s="4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41"/>
      <c r="B137" s="42"/>
      <c r="C137" s="30"/>
      <c r="D137" s="30"/>
      <c r="E137" s="3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41"/>
      <c r="B138" s="42"/>
      <c r="C138" s="30"/>
      <c r="D138" s="30"/>
      <c r="E138" s="3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41"/>
      <c r="B139" s="42"/>
      <c r="C139" s="30"/>
      <c r="D139" s="30"/>
      <c r="E139" s="3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41"/>
      <c r="B140" s="42"/>
      <c r="C140" s="30"/>
      <c r="D140" s="30"/>
      <c r="E140" s="3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41"/>
      <c r="B141" s="42"/>
      <c r="C141" s="30"/>
      <c r="D141" s="30"/>
      <c r="E141" s="3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51"/>
      <c r="B142" s="52" t="s">
        <v>88</v>
      </c>
      <c r="C142" s="53">
        <f t="shared" ref="C142:E142" si="2">SUM(C7:C141)</f>
        <v>942</v>
      </c>
      <c r="D142" s="53">
        <f t="shared" si="2"/>
        <v>1580</v>
      </c>
      <c r="E142" s="53">
        <f t="shared" si="2"/>
        <v>1300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54"/>
      <c r="D143" s="54"/>
      <c r="E143" s="5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54"/>
      <c r="D144" s="54"/>
      <c r="E144" s="5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54"/>
      <c r="D145" s="54"/>
      <c r="E145" s="5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54"/>
      <c r="D146" s="54"/>
      <c r="E146" s="5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54"/>
      <c r="D147" s="54"/>
      <c r="E147" s="5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54"/>
      <c r="D148" s="54"/>
      <c r="E148" s="5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54"/>
      <c r="D149" s="54"/>
      <c r="E149" s="5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54"/>
      <c r="D150" s="54"/>
      <c r="E150" s="5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54"/>
      <c r="D151" s="54"/>
      <c r="E151" s="5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54"/>
      <c r="D152" s="54"/>
      <c r="E152" s="5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54"/>
      <c r="D153" s="54"/>
      <c r="E153" s="5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54"/>
      <c r="D154" s="54"/>
      <c r="E154" s="5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54"/>
      <c r="D155" s="54"/>
      <c r="E155" s="5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54"/>
      <c r="D156" s="54"/>
      <c r="E156" s="5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54"/>
      <c r="D157" s="54"/>
      <c r="E157" s="5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54"/>
      <c r="D158" s="54"/>
      <c r="E158" s="5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54"/>
      <c r="D159" s="54"/>
      <c r="E159" s="5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54"/>
      <c r="D160" s="54"/>
      <c r="E160" s="5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54"/>
      <c r="D161" s="54"/>
      <c r="E161" s="5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54"/>
      <c r="D162" s="54"/>
      <c r="E162" s="5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54"/>
      <c r="D163" s="54"/>
      <c r="E163" s="5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54"/>
      <c r="D164" s="54"/>
      <c r="E164" s="5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54"/>
      <c r="D165" s="54"/>
      <c r="E165" s="5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54"/>
      <c r="D166" s="54"/>
      <c r="E166" s="5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54"/>
      <c r="D167" s="54"/>
      <c r="E167" s="5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54"/>
      <c r="D168" s="54"/>
      <c r="E168" s="5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54"/>
      <c r="D169" s="54"/>
      <c r="E169" s="5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54"/>
      <c r="D170" s="54"/>
      <c r="E170" s="5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54"/>
      <c r="D171" s="54"/>
      <c r="E171" s="5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54"/>
      <c r="D172" s="54"/>
      <c r="E172" s="5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54"/>
      <c r="D173" s="54"/>
      <c r="E173" s="5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54"/>
      <c r="D174" s="54"/>
      <c r="E174" s="5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54"/>
      <c r="D175" s="54"/>
      <c r="E175" s="5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54"/>
      <c r="D176" s="54"/>
      <c r="E176" s="5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54"/>
      <c r="D177" s="54"/>
      <c r="E177" s="5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54"/>
      <c r="D178" s="54"/>
      <c r="E178" s="5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54"/>
      <c r="D179" s="54"/>
      <c r="E179" s="5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54"/>
      <c r="D180" s="54"/>
      <c r="E180" s="5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54"/>
      <c r="D181" s="54"/>
      <c r="E181" s="5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54"/>
      <c r="D182" s="54"/>
      <c r="E182" s="5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54"/>
      <c r="D183" s="54"/>
      <c r="E183" s="5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54"/>
      <c r="D184" s="54"/>
      <c r="E184" s="5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54"/>
      <c r="D185" s="54"/>
      <c r="E185" s="5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54"/>
      <c r="D186" s="54"/>
      <c r="E186" s="5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54"/>
      <c r="D187" s="54"/>
      <c r="E187" s="5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54"/>
      <c r="D188" s="54"/>
      <c r="E188" s="5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54"/>
      <c r="D189" s="54"/>
      <c r="E189" s="5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54"/>
      <c r="D190" s="54"/>
      <c r="E190" s="5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54"/>
      <c r="D191" s="54"/>
      <c r="E191" s="5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54"/>
      <c r="D192" s="54"/>
      <c r="E192" s="5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54"/>
      <c r="D193" s="54"/>
      <c r="E193" s="5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54"/>
      <c r="D194" s="54"/>
      <c r="E194" s="5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54"/>
      <c r="D195" s="54"/>
      <c r="E195" s="5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54"/>
      <c r="D196" s="54"/>
      <c r="E196" s="5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54"/>
      <c r="D197" s="54"/>
      <c r="E197" s="5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54"/>
      <c r="D198" s="54"/>
      <c r="E198" s="5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54"/>
      <c r="D199" s="54"/>
      <c r="E199" s="5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54"/>
      <c r="D200" s="54"/>
      <c r="E200" s="5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54"/>
      <c r="D201" s="54"/>
      <c r="E201" s="5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54"/>
      <c r="D202" s="54"/>
      <c r="E202" s="5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54"/>
      <c r="D203" s="54"/>
      <c r="E203" s="5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54"/>
      <c r="D204" s="54"/>
      <c r="E204" s="5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54"/>
      <c r="D205" s="54"/>
      <c r="E205" s="5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54"/>
      <c r="D206" s="54"/>
      <c r="E206" s="5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54"/>
      <c r="D207" s="54"/>
      <c r="E207" s="5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54"/>
      <c r="D208" s="54"/>
      <c r="E208" s="5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54"/>
      <c r="D209" s="54"/>
      <c r="E209" s="5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54"/>
      <c r="D210" s="54"/>
      <c r="E210" s="5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54"/>
      <c r="D211" s="54"/>
      <c r="E211" s="5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54"/>
      <c r="D212" s="54"/>
      <c r="E212" s="5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54"/>
      <c r="D213" s="54"/>
      <c r="E213" s="5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54"/>
      <c r="D214" s="54"/>
      <c r="E214" s="5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54"/>
      <c r="D215" s="54"/>
      <c r="E215" s="5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54"/>
      <c r="D216" s="54"/>
      <c r="E216" s="5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54"/>
      <c r="D217" s="54"/>
      <c r="E217" s="5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54"/>
      <c r="D218" s="54"/>
      <c r="E218" s="5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54"/>
      <c r="D219" s="54"/>
      <c r="E219" s="5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54"/>
      <c r="D220" s="54"/>
      <c r="E220" s="5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54"/>
      <c r="D221" s="54"/>
      <c r="E221" s="5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54"/>
      <c r="D222" s="54"/>
      <c r="E222" s="5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54"/>
      <c r="D223" s="54"/>
      <c r="E223" s="5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54"/>
      <c r="D224" s="54"/>
      <c r="E224" s="5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54"/>
      <c r="D225" s="54"/>
      <c r="E225" s="5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54"/>
      <c r="D226" s="54"/>
      <c r="E226" s="5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54"/>
      <c r="D227" s="54"/>
      <c r="E227" s="5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54"/>
      <c r="D228" s="54"/>
      <c r="E228" s="5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54"/>
      <c r="D229" s="54"/>
      <c r="E229" s="5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54"/>
      <c r="D230" s="54"/>
      <c r="E230" s="5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54"/>
      <c r="D231" s="54"/>
      <c r="E231" s="5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54"/>
      <c r="D232" s="54"/>
      <c r="E232" s="5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54"/>
      <c r="D233" s="54"/>
      <c r="E233" s="5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54"/>
      <c r="D234" s="54"/>
      <c r="E234" s="5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54"/>
      <c r="D235" s="54"/>
      <c r="E235" s="5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54"/>
      <c r="D236" s="54"/>
      <c r="E236" s="5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54"/>
      <c r="D237" s="54"/>
      <c r="E237" s="5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54"/>
      <c r="D238" s="54"/>
      <c r="E238" s="5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54"/>
      <c r="D239" s="54"/>
      <c r="E239" s="5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54"/>
      <c r="D240" s="54"/>
      <c r="E240" s="5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54"/>
      <c r="D241" s="54"/>
      <c r="E241" s="5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54"/>
      <c r="D242" s="54"/>
      <c r="E242" s="5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54"/>
      <c r="D243" s="54"/>
      <c r="E243" s="5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54"/>
      <c r="D244" s="54"/>
      <c r="E244" s="5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54"/>
      <c r="D245" s="54"/>
      <c r="E245" s="5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54"/>
      <c r="D246" s="54"/>
      <c r="E246" s="5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54"/>
      <c r="D247" s="54"/>
      <c r="E247" s="5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54"/>
      <c r="D248" s="54"/>
      <c r="E248" s="5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54"/>
      <c r="D249" s="54"/>
      <c r="E249" s="5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54"/>
      <c r="D250" s="54"/>
      <c r="E250" s="5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54"/>
      <c r="D251" s="54"/>
      <c r="E251" s="5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54"/>
      <c r="D252" s="54"/>
      <c r="E252" s="5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54"/>
      <c r="D253" s="54"/>
      <c r="E253" s="5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54"/>
      <c r="D254" s="54"/>
      <c r="E254" s="5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54"/>
      <c r="D255" s="54"/>
      <c r="E255" s="5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54"/>
      <c r="D256" s="54"/>
      <c r="E256" s="5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54"/>
      <c r="D257" s="54"/>
      <c r="E257" s="5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54"/>
      <c r="D258" s="54"/>
      <c r="E258" s="5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54"/>
      <c r="D259" s="54"/>
      <c r="E259" s="5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54"/>
      <c r="D260" s="54"/>
      <c r="E260" s="5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54"/>
      <c r="D261" s="54"/>
      <c r="E261" s="5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54"/>
      <c r="D262" s="54"/>
      <c r="E262" s="5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54"/>
      <c r="D263" s="54"/>
      <c r="E263" s="5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54"/>
      <c r="D264" s="54"/>
      <c r="E264" s="5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54"/>
      <c r="D265" s="54"/>
      <c r="E265" s="5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54"/>
      <c r="D266" s="54"/>
      <c r="E266" s="5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54"/>
      <c r="D267" s="54"/>
      <c r="E267" s="5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54"/>
      <c r="D268" s="54"/>
      <c r="E268" s="5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54"/>
      <c r="D269" s="54"/>
      <c r="E269" s="5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54"/>
      <c r="D270" s="54"/>
      <c r="E270" s="5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54"/>
      <c r="D271" s="54"/>
      <c r="E271" s="5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54"/>
      <c r="D272" s="54"/>
      <c r="E272" s="5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54"/>
      <c r="D273" s="54"/>
      <c r="E273" s="5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54"/>
      <c r="D274" s="54"/>
      <c r="E274" s="5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54"/>
      <c r="D275" s="54"/>
      <c r="E275" s="5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54"/>
      <c r="D276" s="54"/>
      <c r="E276" s="5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54"/>
      <c r="D277" s="54"/>
      <c r="E277" s="5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54"/>
      <c r="D278" s="54"/>
      <c r="E278" s="5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54"/>
      <c r="D279" s="54"/>
      <c r="E279" s="5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54"/>
      <c r="D280" s="54"/>
      <c r="E280" s="5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54"/>
      <c r="D281" s="54"/>
      <c r="E281" s="5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54"/>
      <c r="D282" s="54"/>
      <c r="E282" s="5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54"/>
      <c r="D283" s="54"/>
      <c r="E283" s="5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54"/>
      <c r="D284" s="54"/>
      <c r="E284" s="5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54"/>
      <c r="D285" s="54"/>
      <c r="E285" s="5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54"/>
      <c r="D286" s="54"/>
      <c r="E286" s="5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54"/>
      <c r="D287" s="54"/>
      <c r="E287" s="5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54"/>
      <c r="D288" s="54"/>
      <c r="E288" s="5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54"/>
      <c r="D289" s="54"/>
      <c r="E289" s="5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54"/>
      <c r="D290" s="54"/>
      <c r="E290" s="5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54"/>
      <c r="D291" s="54"/>
      <c r="E291" s="5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54"/>
      <c r="D292" s="54"/>
      <c r="E292" s="5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54"/>
      <c r="D293" s="54"/>
      <c r="E293" s="5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54"/>
      <c r="D294" s="54"/>
      <c r="E294" s="5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54"/>
      <c r="D295" s="54"/>
      <c r="E295" s="5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54"/>
      <c r="D296" s="54"/>
      <c r="E296" s="5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54"/>
      <c r="D297" s="54"/>
      <c r="E297" s="5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54"/>
      <c r="D298" s="54"/>
      <c r="E298" s="5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54"/>
      <c r="D299" s="54"/>
      <c r="E299" s="5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54"/>
      <c r="D300" s="54"/>
      <c r="E300" s="5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54"/>
      <c r="D301" s="54"/>
      <c r="E301" s="5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54"/>
      <c r="D302" s="54"/>
      <c r="E302" s="5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54"/>
      <c r="D303" s="54"/>
      <c r="E303" s="5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54"/>
      <c r="D304" s="54"/>
      <c r="E304" s="5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54"/>
      <c r="D305" s="54"/>
      <c r="E305" s="5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54"/>
      <c r="D306" s="54"/>
      <c r="E306" s="5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54"/>
      <c r="D307" s="54"/>
      <c r="E307" s="5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54"/>
      <c r="D308" s="54"/>
      <c r="E308" s="5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54"/>
      <c r="D309" s="54"/>
      <c r="E309" s="5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54"/>
      <c r="D310" s="54"/>
      <c r="E310" s="5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54"/>
      <c r="D311" s="54"/>
      <c r="E311" s="5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54"/>
      <c r="D312" s="54"/>
      <c r="E312" s="5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54"/>
      <c r="D313" s="54"/>
      <c r="E313" s="5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54"/>
      <c r="D314" s="54"/>
      <c r="E314" s="5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54"/>
      <c r="D315" s="54"/>
      <c r="E315" s="5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54"/>
      <c r="D316" s="54"/>
      <c r="E316" s="5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54"/>
      <c r="D317" s="54"/>
      <c r="E317" s="5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54"/>
      <c r="D318" s="54"/>
      <c r="E318" s="5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54"/>
      <c r="D319" s="54"/>
      <c r="E319" s="5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54"/>
      <c r="D320" s="54"/>
      <c r="E320" s="5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54"/>
      <c r="D321" s="54"/>
      <c r="E321" s="5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54"/>
      <c r="D322" s="54"/>
      <c r="E322" s="5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54"/>
      <c r="D323" s="54"/>
      <c r="E323" s="5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54"/>
      <c r="D324" s="54"/>
      <c r="E324" s="5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54"/>
      <c r="D325" s="54"/>
      <c r="E325" s="5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54"/>
      <c r="D326" s="54"/>
      <c r="E326" s="5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54"/>
      <c r="D327" s="54"/>
      <c r="E327" s="5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54"/>
      <c r="D328" s="54"/>
      <c r="E328" s="5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54"/>
      <c r="D329" s="54"/>
      <c r="E329" s="5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54"/>
      <c r="D330" s="54"/>
      <c r="E330" s="5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54"/>
      <c r="D331" s="54"/>
      <c r="E331" s="5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54"/>
      <c r="D332" s="54"/>
      <c r="E332" s="5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54"/>
      <c r="D333" s="54"/>
      <c r="E333" s="5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54"/>
      <c r="D334" s="54"/>
      <c r="E334" s="5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54"/>
      <c r="D335" s="54"/>
      <c r="E335" s="5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54"/>
      <c r="D336" s="54"/>
      <c r="E336" s="5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54"/>
      <c r="D337" s="54"/>
      <c r="E337" s="5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54"/>
      <c r="D338" s="54"/>
      <c r="E338" s="5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54"/>
      <c r="D339" s="54"/>
      <c r="E339" s="5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54"/>
      <c r="D340" s="54"/>
      <c r="E340" s="5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54"/>
      <c r="D341" s="54"/>
      <c r="E341" s="5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54"/>
      <c r="D342" s="54"/>
      <c r="E342" s="5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54"/>
      <c r="D343" s="54"/>
      <c r="E343" s="5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54"/>
      <c r="D344" s="54"/>
      <c r="E344" s="5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54"/>
      <c r="D345" s="54"/>
      <c r="E345" s="5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54"/>
      <c r="D346" s="54"/>
      <c r="E346" s="5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54"/>
      <c r="D347" s="54"/>
      <c r="E347" s="5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54"/>
      <c r="D348" s="54"/>
      <c r="E348" s="5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54"/>
      <c r="D349" s="54"/>
      <c r="E349" s="5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54"/>
      <c r="D350" s="54"/>
      <c r="E350" s="5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54"/>
      <c r="D351" s="54"/>
      <c r="E351" s="5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54"/>
      <c r="D352" s="54"/>
      <c r="E352" s="5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54"/>
      <c r="D353" s="54"/>
      <c r="E353" s="5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54"/>
      <c r="D354" s="54"/>
      <c r="E354" s="5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54"/>
      <c r="D355" s="54"/>
      <c r="E355" s="5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54"/>
      <c r="D356" s="54"/>
      <c r="E356" s="5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54"/>
      <c r="D357" s="54"/>
      <c r="E357" s="5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54"/>
      <c r="D358" s="54"/>
      <c r="E358" s="5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54"/>
      <c r="D359" s="54"/>
      <c r="E359" s="5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54"/>
      <c r="D360" s="54"/>
      <c r="E360" s="5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54"/>
      <c r="D361" s="54"/>
      <c r="E361" s="5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54"/>
      <c r="D362" s="54"/>
      <c r="E362" s="5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54"/>
      <c r="D363" s="54"/>
      <c r="E363" s="5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54"/>
      <c r="D364" s="54"/>
      <c r="E364" s="5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54"/>
      <c r="D365" s="54"/>
      <c r="E365" s="5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54"/>
      <c r="D366" s="54"/>
      <c r="E366" s="5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54"/>
      <c r="D367" s="54"/>
      <c r="E367" s="5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54"/>
      <c r="D368" s="54"/>
      <c r="E368" s="5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54"/>
      <c r="D369" s="54"/>
      <c r="E369" s="5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54"/>
      <c r="D370" s="54"/>
      <c r="E370" s="5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54"/>
      <c r="D371" s="54"/>
      <c r="E371" s="5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54"/>
      <c r="D372" s="54"/>
      <c r="E372" s="5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54"/>
      <c r="D373" s="54"/>
      <c r="E373" s="5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54"/>
      <c r="D374" s="54"/>
      <c r="E374" s="5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54"/>
      <c r="D375" s="54"/>
      <c r="E375" s="5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54"/>
      <c r="D376" s="54"/>
      <c r="E376" s="5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54"/>
      <c r="D377" s="54"/>
      <c r="E377" s="5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54"/>
      <c r="D378" s="54"/>
      <c r="E378" s="5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54"/>
      <c r="D379" s="54"/>
      <c r="E379" s="5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54"/>
      <c r="D380" s="54"/>
      <c r="E380" s="5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54"/>
      <c r="D381" s="54"/>
      <c r="E381" s="5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54"/>
      <c r="D382" s="54"/>
      <c r="E382" s="5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54"/>
      <c r="D383" s="54"/>
      <c r="E383" s="5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54"/>
      <c r="D384" s="54"/>
      <c r="E384" s="5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54"/>
      <c r="D385" s="54"/>
      <c r="E385" s="5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54"/>
      <c r="D386" s="54"/>
      <c r="E386" s="5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54"/>
      <c r="D387" s="54"/>
      <c r="E387" s="5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54"/>
      <c r="D388" s="54"/>
      <c r="E388" s="5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54"/>
      <c r="D389" s="54"/>
      <c r="E389" s="5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54"/>
      <c r="D390" s="54"/>
      <c r="E390" s="5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54"/>
      <c r="D391" s="54"/>
      <c r="E391" s="5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54"/>
      <c r="D392" s="54"/>
      <c r="E392" s="5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54"/>
      <c r="D393" s="54"/>
      <c r="E393" s="5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54"/>
      <c r="D394" s="54"/>
      <c r="E394" s="5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54"/>
      <c r="D395" s="54"/>
      <c r="E395" s="5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54"/>
      <c r="D396" s="54"/>
      <c r="E396" s="5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54"/>
      <c r="D397" s="54"/>
      <c r="E397" s="5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54"/>
      <c r="D398" s="54"/>
      <c r="E398" s="5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54"/>
      <c r="D399" s="54"/>
      <c r="E399" s="5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54"/>
      <c r="D400" s="54"/>
      <c r="E400" s="5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54"/>
      <c r="D401" s="54"/>
      <c r="E401" s="5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54"/>
      <c r="D402" s="54"/>
      <c r="E402" s="5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54"/>
      <c r="D403" s="54"/>
      <c r="E403" s="5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54"/>
      <c r="D404" s="54"/>
      <c r="E404" s="5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54"/>
      <c r="D405" s="54"/>
      <c r="E405" s="5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54"/>
      <c r="D406" s="54"/>
      <c r="E406" s="5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54"/>
      <c r="D407" s="54"/>
      <c r="E407" s="5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54"/>
      <c r="D408" s="54"/>
      <c r="E408" s="5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54"/>
      <c r="D409" s="54"/>
      <c r="E409" s="5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54"/>
      <c r="D410" s="54"/>
      <c r="E410" s="5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54"/>
      <c r="D411" s="54"/>
      <c r="E411" s="5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54"/>
      <c r="D412" s="54"/>
      <c r="E412" s="5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54"/>
      <c r="D413" s="54"/>
      <c r="E413" s="5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54"/>
      <c r="D414" s="54"/>
      <c r="E414" s="5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54"/>
      <c r="D415" s="54"/>
      <c r="E415" s="5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54"/>
      <c r="D416" s="54"/>
      <c r="E416" s="5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54"/>
      <c r="D417" s="54"/>
      <c r="E417" s="5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54"/>
      <c r="D418" s="54"/>
      <c r="E418" s="5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54"/>
      <c r="D419" s="54"/>
      <c r="E419" s="5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54"/>
      <c r="D420" s="54"/>
      <c r="E420" s="5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54"/>
      <c r="D421" s="54"/>
      <c r="E421" s="5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54"/>
      <c r="D422" s="54"/>
      <c r="E422" s="5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54"/>
      <c r="D423" s="54"/>
      <c r="E423" s="5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54"/>
      <c r="D424" s="54"/>
      <c r="E424" s="5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54"/>
      <c r="D425" s="54"/>
      <c r="E425" s="5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54"/>
      <c r="D426" s="54"/>
      <c r="E426" s="5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54"/>
      <c r="D427" s="54"/>
      <c r="E427" s="5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54"/>
      <c r="D428" s="54"/>
      <c r="E428" s="5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54"/>
      <c r="D429" s="54"/>
      <c r="E429" s="5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54"/>
      <c r="D430" s="54"/>
      <c r="E430" s="5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54"/>
      <c r="D431" s="54"/>
      <c r="E431" s="5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54"/>
      <c r="D432" s="54"/>
      <c r="E432" s="5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54"/>
      <c r="D433" s="54"/>
      <c r="E433" s="5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54"/>
      <c r="D434" s="54"/>
      <c r="E434" s="5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54"/>
      <c r="D435" s="54"/>
      <c r="E435" s="5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54"/>
      <c r="D436" s="54"/>
      <c r="E436" s="5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54"/>
      <c r="D437" s="54"/>
      <c r="E437" s="5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54"/>
      <c r="D438" s="54"/>
      <c r="E438" s="5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54"/>
      <c r="D439" s="54"/>
      <c r="E439" s="5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54"/>
      <c r="D440" s="54"/>
      <c r="E440" s="5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54"/>
      <c r="D441" s="54"/>
      <c r="E441" s="5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54"/>
      <c r="D442" s="54"/>
      <c r="E442" s="5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54"/>
      <c r="D443" s="54"/>
      <c r="E443" s="5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54"/>
      <c r="D444" s="54"/>
      <c r="E444" s="5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54"/>
      <c r="D445" s="54"/>
      <c r="E445" s="5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54"/>
      <c r="D446" s="54"/>
      <c r="E446" s="5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54"/>
      <c r="D447" s="54"/>
      <c r="E447" s="5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54"/>
      <c r="D448" s="54"/>
      <c r="E448" s="5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54"/>
      <c r="D449" s="54"/>
      <c r="E449" s="5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54"/>
      <c r="D450" s="54"/>
      <c r="E450" s="5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54"/>
      <c r="D451" s="54"/>
      <c r="E451" s="5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54"/>
      <c r="D452" s="54"/>
      <c r="E452" s="5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54"/>
      <c r="D453" s="54"/>
      <c r="E453" s="5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54"/>
      <c r="D454" s="54"/>
      <c r="E454" s="5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54"/>
      <c r="D455" s="54"/>
      <c r="E455" s="5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54"/>
      <c r="D456" s="54"/>
      <c r="E456" s="5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54"/>
      <c r="D457" s="54"/>
      <c r="E457" s="5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54"/>
      <c r="D458" s="54"/>
      <c r="E458" s="5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54"/>
      <c r="D459" s="54"/>
      <c r="E459" s="5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54"/>
      <c r="D460" s="54"/>
      <c r="E460" s="5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54"/>
      <c r="D461" s="54"/>
      <c r="E461" s="5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54"/>
      <c r="D462" s="54"/>
      <c r="E462" s="5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54"/>
      <c r="D463" s="54"/>
      <c r="E463" s="5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54"/>
      <c r="D464" s="54"/>
      <c r="E464" s="5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54"/>
      <c r="D465" s="54"/>
      <c r="E465" s="5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54"/>
      <c r="D466" s="54"/>
      <c r="E466" s="5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54"/>
      <c r="D467" s="54"/>
      <c r="E467" s="5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54"/>
      <c r="D468" s="54"/>
      <c r="E468" s="5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54"/>
      <c r="D469" s="54"/>
      <c r="E469" s="5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54"/>
      <c r="D470" s="54"/>
      <c r="E470" s="5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54"/>
      <c r="D471" s="54"/>
      <c r="E471" s="5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54"/>
      <c r="D472" s="54"/>
      <c r="E472" s="5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54"/>
      <c r="D473" s="54"/>
      <c r="E473" s="5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54"/>
      <c r="D474" s="54"/>
      <c r="E474" s="5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54"/>
      <c r="D475" s="54"/>
      <c r="E475" s="5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54"/>
      <c r="D476" s="54"/>
      <c r="E476" s="5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54"/>
      <c r="D477" s="54"/>
      <c r="E477" s="5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54"/>
      <c r="D478" s="54"/>
      <c r="E478" s="5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54"/>
      <c r="D479" s="54"/>
      <c r="E479" s="5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54"/>
      <c r="D480" s="54"/>
      <c r="E480" s="5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54"/>
      <c r="D481" s="54"/>
      <c r="E481" s="5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54"/>
      <c r="D482" s="54"/>
      <c r="E482" s="5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54"/>
      <c r="D483" s="54"/>
      <c r="E483" s="5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54"/>
      <c r="D484" s="54"/>
      <c r="E484" s="5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54"/>
      <c r="D485" s="54"/>
      <c r="E485" s="5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54"/>
      <c r="D486" s="54"/>
      <c r="E486" s="5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54"/>
      <c r="D487" s="54"/>
      <c r="E487" s="5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54"/>
      <c r="D488" s="54"/>
      <c r="E488" s="5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54"/>
      <c r="D489" s="54"/>
      <c r="E489" s="5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54"/>
      <c r="D490" s="54"/>
      <c r="E490" s="5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54"/>
      <c r="D491" s="54"/>
      <c r="E491" s="5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54"/>
      <c r="D492" s="54"/>
      <c r="E492" s="5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54"/>
      <c r="D493" s="54"/>
      <c r="E493" s="5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54"/>
      <c r="D494" s="54"/>
      <c r="E494" s="5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54"/>
      <c r="D495" s="54"/>
      <c r="E495" s="5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54"/>
      <c r="D496" s="54"/>
      <c r="E496" s="5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54"/>
      <c r="D497" s="54"/>
      <c r="E497" s="5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54"/>
      <c r="D498" s="54"/>
      <c r="E498" s="5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54"/>
      <c r="D499" s="54"/>
      <c r="E499" s="5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54"/>
      <c r="D500" s="54"/>
      <c r="E500" s="5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54"/>
      <c r="D501" s="54"/>
      <c r="E501" s="5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54"/>
      <c r="D502" s="54"/>
      <c r="E502" s="5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54"/>
      <c r="D503" s="54"/>
      <c r="E503" s="5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54"/>
      <c r="D504" s="54"/>
      <c r="E504" s="5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54"/>
      <c r="D505" s="54"/>
      <c r="E505" s="5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54"/>
      <c r="D506" s="54"/>
      <c r="E506" s="5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54"/>
      <c r="D507" s="54"/>
      <c r="E507" s="5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54"/>
      <c r="D508" s="54"/>
      <c r="E508" s="5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54"/>
      <c r="D509" s="54"/>
      <c r="E509" s="5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54"/>
      <c r="D510" s="54"/>
      <c r="E510" s="5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54"/>
      <c r="D511" s="54"/>
      <c r="E511" s="5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54"/>
      <c r="D512" s="54"/>
      <c r="E512" s="5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54"/>
      <c r="D513" s="54"/>
      <c r="E513" s="5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54"/>
      <c r="D514" s="54"/>
      <c r="E514" s="5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54"/>
      <c r="D515" s="54"/>
      <c r="E515" s="5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54"/>
      <c r="D516" s="54"/>
      <c r="E516" s="5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54"/>
      <c r="D517" s="54"/>
      <c r="E517" s="5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54"/>
      <c r="D518" s="54"/>
      <c r="E518" s="5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54"/>
      <c r="D519" s="54"/>
      <c r="E519" s="5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54"/>
      <c r="D520" s="54"/>
      <c r="E520" s="5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54"/>
      <c r="D521" s="54"/>
      <c r="E521" s="5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54"/>
      <c r="D522" s="54"/>
      <c r="E522" s="5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54"/>
      <c r="D523" s="54"/>
      <c r="E523" s="5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54"/>
      <c r="D524" s="54"/>
      <c r="E524" s="5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54"/>
      <c r="D525" s="54"/>
      <c r="E525" s="5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54"/>
      <c r="D526" s="54"/>
      <c r="E526" s="5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54"/>
      <c r="D527" s="54"/>
      <c r="E527" s="5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54"/>
      <c r="D528" s="54"/>
      <c r="E528" s="5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54"/>
      <c r="D529" s="54"/>
      <c r="E529" s="5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54"/>
      <c r="D530" s="54"/>
      <c r="E530" s="5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54"/>
      <c r="D531" s="54"/>
      <c r="E531" s="5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54"/>
      <c r="D532" s="54"/>
      <c r="E532" s="5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54"/>
      <c r="D533" s="54"/>
      <c r="E533" s="5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54"/>
      <c r="D534" s="54"/>
      <c r="E534" s="5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54"/>
      <c r="D535" s="54"/>
      <c r="E535" s="5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54"/>
      <c r="D536" s="54"/>
      <c r="E536" s="5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54"/>
      <c r="D537" s="54"/>
      <c r="E537" s="5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54"/>
      <c r="D538" s="54"/>
      <c r="E538" s="5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54"/>
      <c r="D539" s="54"/>
      <c r="E539" s="5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54"/>
      <c r="D540" s="54"/>
      <c r="E540" s="5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54"/>
      <c r="D541" s="54"/>
      <c r="E541" s="5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54"/>
      <c r="D542" s="54"/>
      <c r="E542" s="5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54"/>
      <c r="D543" s="54"/>
      <c r="E543" s="5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54"/>
      <c r="D544" s="54"/>
      <c r="E544" s="5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54"/>
      <c r="D545" s="54"/>
      <c r="E545" s="5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54"/>
      <c r="D546" s="54"/>
      <c r="E546" s="5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54"/>
      <c r="D547" s="54"/>
      <c r="E547" s="5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54"/>
      <c r="D548" s="54"/>
      <c r="E548" s="5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54"/>
      <c r="D549" s="54"/>
      <c r="E549" s="5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54"/>
      <c r="D550" s="54"/>
      <c r="E550" s="5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54"/>
      <c r="D551" s="54"/>
      <c r="E551" s="5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54"/>
      <c r="D552" s="54"/>
      <c r="E552" s="5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54"/>
      <c r="D553" s="54"/>
      <c r="E553" s="5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54"/>
      <c r="D554" s="54"/>
      <c r="E554" s="5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54"/>
      <c r="D555" s="54"/>
      <c r="E555" s="5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54"/>
      <c r="D556" s="54"/>
      <c r="E556" s="5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54"/>
      <c r="D557" s="54"/>
      <c r="E557" s="5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54"/>
      <c r="D558" s="54"/>
      <c r="E558" s="5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54"/>
      <c r="D559" s="54"/>
      <c r="E559" s="5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54"/>
      <c r="D560" s="54"/>
      <c r="E560" s="5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54"/>
      <c r="D561" s="54"/>
      <c r="E561" s="5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54"/>
      <c r="D562" s="54"/>
      <c r="E562" s="5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54"/>
      <c r="D563" s="54"/>
      <c r="E563" s="5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54"/>
      <c r="D564" s="54"/>
      <c r="E564" s="5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54"/>
      <c r="D565" s="54"/>
      <c r="E565" s="5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54"/>
      <c r="D566" s="54"/>
      <c r="E566" s="5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54"/>
      <c r="D567" s="54"/>
      <c r="E567" s="5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54"/>
      <c r="D568" s="54"/>
      <c r="E568" s="5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54"/>
      <c r="D569" s="54"/>
      <c r="E569" s="5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54"/>
      <c r="D570" s="54"/>
      <c r="E570" s="5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54"/>
      <c r="D571" s="54"/>
      <c r="E571" s="5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54"/>
      <c r="D572" s="54"/>
      <c r="E572" s="5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54"/>
      <c r="D573" s="54"/>
      <c r="E573" s="5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54"/>
      <c r="D574" s="54"/>
      <c r="E574" s="5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54"/>
      <c r="D575" s="54"/>
      <c r="E575" s="5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54"/>
      <c r="D576" s="54"/>
      <c r="E576" s="5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54"/>
      <c r="D577" s="54"/>
      <c r="E577" s="5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54"/>
      <c r="D578" s="54"/>
      <c r="E578" s="5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54"/>
      <c r="D579" s="54"/>
      <c r="E579" s="5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54"/>
      <c r="D580" s="54"/>
      <c r="E580" s="5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54"/>
      <c r="D581" s="54"/>
      <c r="E581" s="5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54"/>
      <c r="D582" s="54"/>
      <c r="E582" s="5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54"/>
      <c r="D583" s="54"/>
      <c r="E583" s="5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54"/>
      <c r="D584" s="54"/>
      <c r="E584" s="5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54"/>
      <c r="D585" s="54"/>
      <c r="E585" s="5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54"/>
      <c r="D586" s="54"/>
      <c r="E586" s="5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54"/>
      <c r="D587" s="54"/>
      <c r="E587" s="5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54"/>
      <c r="D588" s="54"/>
      <c r="E588" s="5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54"/>
      <c r="D589" s="54"/>
      <c r="E589" s="5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54"/>
      <c r="D590" s="54"/>
      <c r="E590" s="5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54"/>
      <c r="D591" s="54"/>
      <c r="E591" s="5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54"/>
      <c r="D592" s="54"/>
      <c r="E592" s="5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54"/>
      <c r="D593" s="54"/>
      <c r="E593" s="5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54"/>
      <c r="D594" s="54"/>
      <c r="E594" s="5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54"/>
      <c r="D595" s="54"/>
      <c r="E595" s="5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54"/>
      <c r="D596" s="54"/>
      <c r="E596" s="5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54"/>
      <c r="D597" s="54"/>
      <c r="E597" s="5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54"/>
      <c r="D598" s="54"/>
      <c r="E598" s="5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54"/>
      <c r="D599" s="54"/>
      <c r="E599" s="5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54"/>
      <c r="D600" s="54"/>
      <c r="E600" s="5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54"/>
      <c r="D601" s="54"/>
      <c r="E601" s="5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54"/>
      <c r="D602" s="54"/>
      <c r="E602" s="5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54"/>
      <c r="D603" s="54"/>
      <c r="E603" s="5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54"/>
      <c r="D604" s="54"/>
      <c r="E604" s="5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54"/>
      <c r="D605" s="54"/>
      <c r="E605" s="5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54"/>
      <c r="D606" s="54"/>
      <c r="E606" s="5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54"/>
      <c r="D607" s="54"/>
      <c r="E607" s="5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54"/>
      <c r="D608" s="54"/>
      <c r="E608" s="5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54"/>
      <c r="D609" s="54"/>
      <c r="E609" s="5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54"/>
      <c r="D610" s="54"/>
      <c r="E610" s="5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54"/>
      <c r="D611" s="54"/>
      <c r="E611" s="5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54"/>
      <c r="D612" s="54"/>
      <c r="E612" s="5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54"/>
      <c r="D613" s="54"/>
      <c r="E613" s="5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54"/>
      <c r="D614" s="54"/>
      <c r="E614" s="5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54"/>
      <c r="D615" s="54"/>
      <c r="E615" s="5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54"/>
      <c r="D616" s="54"/>
      <c r="E616" s="5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54"/>
      <c r="D617" s="54"/>
      <c r="E617" s="5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54"/>
      <c r="D618" s="54"/>
      <c r="E618" s="5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54"/>
      <c r="D619" s="54"/>
      <c r="E619" s="5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54"/>
      <c r="D620" s="54"/>
      <c r="E620" s="5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54"/>
      <c r="D621" s="54"/>
      <c r="E621" s="5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54"/>
      <c r="D622" s="54"/>
      <c r="E622" s="5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54"/>
      <c r="D623" s="54"/>
      <c r="E623" s="5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54"/>
      <c r="D624" s="54"/>
      <c r="E624" s="5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54"/>
      <c r="D625" s="54"/>
      <c r="E625" s="5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54"/>
      <c r="D626" s="54"/>
      <c r="E626" s="5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54"/>
      <c r="D627" s="54"/>
      <c r="E627" s="5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54"/>
      <c r="D628" s="54"/>
      <c r="E628" s="5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54"/>
      <c r="D629" s="54"/>
      <c r="E629" s="5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54"/>
      <c r="D630" s="54"/>
      <c r="E630" s="5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54"/>
      <c r="D631" s="54"/>
      <c r="E631" s="5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54"/>
      <c r="D632" s="54"/>
      <c r="E632" s="5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54"/>
      <c r="D633" s="54"/>
      <c r="E633" s="5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54"/>
      <c r="D634" s="54"/>
      <c r="E634" s="5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54"/>
      <c r="D635" s="54"/>
      <c r="E635" s="5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54"/>
      <c r="D636" s="54"/>
      <c r="E636" s="5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54"/>
      <c r="D637" s="54"/>
      <c r="E637" s="5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54"/>
      <c r="D638" s="54"/>
      <c r="E638" s="5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54"/>
      <c r="D639" s="54"/>
      <c r="E639" s="5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54"/>
      <c r="D640" s="54"/>
      <c r="E640" s="5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54"/>
      <c r="D641" s="54"/>
      <c r="E641" s="5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54"/>
      <c r="D642" s="54"/>
      <c r="E642" s="5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54"/>
      <c r="D643" s="54"/>
      <c r="E643" s="5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54"/>
      <c r="D644" s="54"/>
      <c r="E644" s="5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54"/>
      <c r="D645" s="54"/>
      <c r="E645" s="5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54"/>
      <c r="D646" s="54"/>
      <c r="E646" s="5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54"/>
      <c r="D647" s="54"/>
      <c r="E647" s="5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54"/>
      <c r="D648" s="54"/>
      <c r="E648" s="5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54"/>
      <c r="D649" s="54"/>
      <c r="E649" s="5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54"/>
      <c r="D650" s="54"/>
      <c r="E650" s="5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54"/>
      <c r="D651" s="54"/>
      <c r="E651" s="5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54"/>
      <c r="D652" s="54"/>
      <c r="E652" s="5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54"/>
      <c r="D653" s="54"/>
      <c r="E653" s="5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54"/>
      <c r="D654" s="54"/>
      <c r="E654" s="5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54"/>
      <c r="D655" s="54"/>
      <c r="E655" s="5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54"/>
      <c r="D656" s="54"/>
      <c r="E656" s="5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54"/>
      <c r="D657" s="54"/>
      <c r="E657" s="5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54"/>
      <c r="D658" s="54"/>
      <c r="E658" s="5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54"/>
      <c r="D659" s="54"/>
      <c r="E659" s="5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54"/>
      <c r="D660" s="54"/>
      <c r="E660" s="5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54"/>
      <c r="D661" s="54"/>
      <c r="E661" s="5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54"/>
      <c r="D662" s="54"/>
      <c r="E662" s="5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54"/>
      <c r="D663" s="54"/>
      <c r="E663" s="5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54"/>
      <c r="D664" s="54"/>
      <c r="E664" s="5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54"/>
      <c r="D665" s="54"/>
      <c r="E665" s="5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54"/>
      <c r="D666" s="54"/>
      <c r="E666" s="5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54"/>
      <c r="D667" s="54"/>
      <c r="E667" s="5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54"/>
      <c r="D668" s="54"/>
      <c r="E668" s="5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54"/>
      <c r="D669" s="54"/>
      <c r="E669" s="5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54"/>
      <c r="D670" s="54"/>
      <c r="E670" s="5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54"/>
      <c r="D671" s="54"/>
      <c r="E671" s="5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54"/>
      <c r="D672" s="54"/>
      <c r="E672" s="5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54"/>
      <c r="D673" s="54"/>
      <c r="E673" s="5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54"/>
      <c r="D674" s="54"/>
      <c r="E674" s="5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54"/>
      <c r="D675" s="54"/>
      <c r="E675" s="5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54"/>
      <c r="D676" s="54"/>
      <c r="E676" s="5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54"/>
      <c r="D677" s="54"/>
      <c r="E677" s="5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54"/>
      <c r="D678" s="54"/>
      <c r="E678" s="5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54"/>
      <c r="D679" s="54"/>
      <c r="E679" s="5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54"/>
      <c r="D680" s="54"/>
      <c r="E680" s="5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54"/>
      <c r="D681" s="54"/>
      <c r="E681" s="5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54"/>
      <c r="D682" s="54"/>
      <c r="E682" s="5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54"/>
      <c r="D683" s="54"/>
      <c r="E683" s="5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54"/>
      <c r="D684" s="54"/>
      <c r="E684" s="5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54"/>
      <c r="D685" s="54"/>
      <c r="E685" s="5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54"/>
      <c r="D686" s="54"/>
      <c r="E686" s="5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54"/>
      <c r="D687" s="54"/>
      <c r="E687" s="5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54"/>
      <c r="D688" s="54"/>
      <c r="E688" s="5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54"/>
      <c r="D689" s="54"/>
      <c r="E689" s="5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54"/>
      <c r="D690" s="54"/>
      <c r="E690" s="5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54"/>
      <c r="D691" s="54"/>
      <c r="E691" s="5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54"/>
      <c r="D692" s="54"/>
      <c r="E692" s="5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54"/>
      <c r="D693" s="54"/>
      <c r="E693" s="5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54"/>
      <c r="D694" s="54"/>
      <c r="E694" s="5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54"/>
      <c r="D695" s="54"/>
      <c r="E695" s="5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54"/>
      <c r="D696" s="54"/>
      <c r="E696" s="5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54"/>
      <c r="D697" s="54"/>
      <c r="E697" s="5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54"/>
      <c r="D698" s="54"/>
      <c r="E698" s="5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54"/>
      <c r="D699" s="54"/>
      <c r="E699" s="5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54"/>
      <c r="D700" s="54"/>
      <c r="E700" s="5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54"/>
      <c r="D701" s="54"/>
      <c r="E701" s="5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54"/>
      <c r="D702" s="54"/>
      <c r="E702" s="5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54"/>
      <c r="D703" s="54"/>
      <c r="E703" s="5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54"/>
      <c r="D704" s="54"/>
      <c r="E704" s="5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54"/>
      <c r="D705" s="54"/>
      <c r="E705" s="5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54"/>
      <c r="D706" s="54"/>
      <c r="E706" s="5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54"/>
      <c r="D707" s="54"/>
      <c r="E707" s="5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54"/>
      <c r="D708" s="54"/>
      <c r="E708" s="5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54"/>
      <c r="D709" s="54"/>
      <c r="E709" s="5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54"/>
      <c r="D710" s="54"/>
      <c r="E710" s="5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54"/>
      <c r="D711" s="54"/>
      <c r="E711" s="5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54"/>
      <c r="D712" s="54"/>
      <c r="E712" s="5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54"/>
      <c r="D713" s="54"/>
      <c r="E713" s="5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54"/>
      <c r="D714" s="54"/>
      <c r="E714" s="5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54"/>
      <c r="D715" s="54"/>
      <c r="E715" s="5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54"/>
      <c r="D716" s="54"/>
      <c r="E716" s="5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54"/>
      <c r="D717" s="54"/>
      <c r="E717" s="5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54"/>
      <c r="D718" s="54"/>
      <c r="E718" s="5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54"/>
      <c r="D719" s="54"/>
      <c r="E719" s="5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54"/>
      <c r="D720" s="54"/>
      <c r="E720" s="5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54"/>
      <c r="D721" s="54"/>
      <c r="E721" s="5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54"/>
      <c r="D722" s="54"/>
      <c r="E722" s="5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54"/>
      <c r="D723" s="54"/>
      <c r="E723" s="5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54"/>
      <c r="D724" s="54"/>
      <c r="E724" s="5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54"/>
      <c r="D725" s="54"/>
      <c r="E725" s="5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54"/>
      <c r="D726" s="54"/>
      <c r="E726" s="5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54"/>
      <c r="D727" s="54"/>
      <c r="E727" s="5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54"/>
      <c r="D728" s="54"/>
      <c r="E728" s="5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54"/>
      <c r="D729" s="54"/>
      <c r="E729" s="5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54"/>
      <c r="D730" s="54"/>
      <c r="E730" s="5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54"/>
      <c r="D731" s="54"/>
      <c r="E731" s="5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54"/>
      <c r="D732" s="54"/>
      <c r="E732" s="5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54"/>
      <c r="D733" s="54"/>
      <c r="E733" s="5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54"/>
      <c r="D734" s="54"/>
      <c r="E734" s="5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54"/>
      <c r="D735" s="54"/>
      <c r="E735" s="5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54"/>
      <c r="D736" s="54"/>
      <c r="E736" s="5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54"/>
      <c r="D737" s="54"/>
      <c r="E737" s="5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54"/>
      <c r="D738" s="54"/>
      <c r="E738" s="5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54"/>
      <c r="D739" s="54"/>
      <c r="E739" s="5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54"/>
      <c r="D740" s="54"/>
      <c r="E740" s="5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54"/>
      <c r="D741" s="54"/>
      <c r="E741" s="5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54"/>
      <c r="D742" s="54"/>
      <c r="E742" s="5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54"/>
      <c r="D743" s="54"/>
      <c r="E743" s="5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54"/>
      <c r="D744" s="54"/>
      <c r="E744" s="5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54"/>
      <c r="D745" s="54"/>
      <c r="E745" s="5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54"/>
      <c r="D746" s="54"/>
      <c r="E746" s="5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54"/>
      <c r="D747" s="54"/>
      <c r="E747" s="5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54"/>
      <c r="D748" s="54"/>
      <c r="E748" s="5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54"/>
      <c r="D749" s="54"/>
      <c r="E749" s="5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54"/>
      <c r="D750" s="54"/>
      <c r="E750" s="5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54"/>
      <c r="D751" s="54"/>
      <c r="E751" s="5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54"/>
      <c r="D752" s="54"/>
      <c r="E752" s="5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54"/>
      <c r="D753" s="54"/>
      <c r="E753" s="5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54"/>
      <c r="D754" s="54"/>
      <c r="E754" s="5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54"/>
      <c r="D755" s="54"/>
      <c r="E755" s="5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54"/>
      <c r="D756" s="54"/>
      <c r="E756" s="5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54"/>
      <c r="D757" s="54"/>
      <c r="E757" s="5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54"/>
      <c r="D758" s="54"/>
      <c r="E758" s="5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54"/>
      <c r="D759" s="54"/>
      <c r="E759" s="5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54"/>
      <c r="D760" s="54"/>
      <c r="E760" s="5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54"/>
      <c r="D761" s="54"/>
      <c r="E761" s="5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54"/>
      <c r="D762" s="54"/>
      <c r="E762" s="5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54"/>
      <c r="D763" s="54"/>
      <c r="E763" s="5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54"/>
      <c r="D764" s="54"/>
      <c r="E764" s="5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54"/>
      <c r="D765" s="54"/>
      <c r="E765" s="5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54"/>
      <c r="D766" s="54"/>
      <c r="E766" s="5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54"/>
      <c r="D767" s="54"/>
      <c r="E767" s="5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54"/>
      <c r="D768" s="54"/>
      <c r="E768" s="5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54"/>
      <c r="D769" s="54"/>
      <c r="E769" s="5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54"/>
      <c r="D770" s="54"/>
      <c r="E770" s="5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54"/>
      <c r="D771" s="54"/>
      <c r="E771" s="5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54"/>
      <c r="D772" s="54"/>
      <c r="E772" s="5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54"/>
      <c r="D773" s="54"/>
      <c r="E773" s="5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54"/>
      <c r="D774" s="54"/>
      <c r="E774" s="5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54"/>
      <c r="D775" s="54"/>
      <c r="E775" s="5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54"/>
      <c r="D776" s="54"/>
      <c r="E776" s="5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54"/>
      <c r="D777" s="54"/>
      <c r="E777" s="5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54"/>
      <c r="D778" s="54"/>
      <c r="E778" s="5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54"/>
      <c r="D779" s="54"/>
      <c r="E779" s="5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54"/>
      <c r="D780" s="54"/>
      <c r="E780" s="5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54"/>
      <c r="D781" s="54"/>
      <c r="E781" s="5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54"/>
      <c r="D782" s="54"/>
      <c r="E782" s="5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54"/>
      <c r="D783" s="54"/>
      <c r="E783" s="5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54"/>
      <c r="D784" s="54"/>
      <c r="E784" s="5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54"/>
      <c r="D785" s="54"/>
      <c r="E785" s="5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54"/>
      <c r="D786" s="54"/>
      <c r="E786" s="5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54"/>
      <c r="D787" s="54"/>
      <c r="E787" s="5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54"/>
      <c r="D788" s="54"/>
      <c r="E788" s="5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54"/>
      <c r="D789" s="54"/>
      <c r="E789" s="5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54"/>
      <c r="D790" s="54"/>
      <c r="E790" s="5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54"/>
      <c r="D791" s="54"/>
      <c r="E791" s="5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54"/>
      <c r="D792" s="54"/>
      <c r="E792" s="5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54"/>
      <c r="D793" s="54"/>
      <c r="E793" s="5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54"/>
      <c r="D794" s="54"/>
      <c r="E794" s="5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54"/>
      <c r="D795" s="54"/>
      <c r="E795" s="5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54"/>
      <c r="D796" s="54"/>
      <c r="E796" s="5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54"/>
      <c r="D797" s="54"/>
      <c r="E797" s="5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54"/>
      <c r="D798" s="54"/>
      <c r="E798" s="5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54"/>
      <c r="D799" s="54"/>
      <c r="E799" s="5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54"/>
      <c r="D800" s="54"/>
      <c r="E800" s="5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54"/>
      <c r="D801" s="54"/>
      <c r="E801" s="5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54"/>
      <c r="D802" s="54"/>
      <c r="E802" s="5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54"/>
      <c r="D803" s="54"/>
      <c r="E803" s="5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54"/>
      <c r="D804" s="54"/>
      <c r="E804" s="5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54"/>
      <c r="D805" s="54"/>
      <c r="E805" s="5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54"/>
      <c r="D806" s="54"/>
      <c r="E806" s="5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54"/>
      <c r="D807" s="54"/>
      <c r="E807" s="5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54"/>
      <c r="D808" s="54"/>
      <c r="E808" s="5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54"/>
      <c r="D809" s="54"/>
      <c r="E809" s="5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54"/>
      <c r="D810" s="54"/>
      <c r="E810" s="5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54"/>
      <c r="D811" s="54"/>
      <c r="E811" s="5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54"/>
      <c r="D812" s="54"/>
      <c r="E812" s="5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54"/>
      <c r="D813" s="54"/>
      <c r="E813" s="5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54"/>
      <c r="D814" s="54"/>
      <c r="E814" s="5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54"/>
      <c r="D815" s="54"/>
      <c r="E815" s="5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54"/>
      <c r="D816" s="54"/>
      <c r="E816" s="5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54"/>
      <c r="D817" s="54"/>
      <c r="E817" s="5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54"/>
      <c r="D818" s="54"/>
      <c r="E818" s="5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54"/>
      <c r="D819" s="54"/>
      <c r="E819" s="5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54"/>
      <c r="D820" s="54"/>
      <c r="E820" s="5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54"/>
      <c r="D821" s="54"/>
      <c r="E821" s="5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54"/>
      <c r="D822" s="54"/>
      <c r="E822" s="5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54"/>
      <c r="D823" s="54"/>
      <c r="E823" s="5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54"/>
      <c r="D824" s="54"/>
      <c r="E824" s="5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54"/>
      <c r="D825" s="54"/>
      <c r="E825" s="5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54"/>
      <c r="D826" s="54"/>
      <c r="E826" s="5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54"/>
      <c r="D827" s="54"/>
      <c r="E827" s="5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54"/>
      <c r="D828" s="54"/>
      <c r="E828" s="5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54"/>
      <c r="D829" s="54"/>
      <c r="E829" s="5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54"/>
      <c r="D830" s="54"/>
      <c r="E830" s="5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54"/>
      <c r="D831" s="54"/>
      <c r="E831" s="5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54"/>
      <c r="D832" s="54"/>
      <c r="E832" s="5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54"/>
      <c r="D833" s="54"/>
      <c r="E833" s="5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54"/>
      <c r="D834" s="54"/>
      <c r="E834" s="5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54"/>
      <c r="D835" s="54"/>
      <c r="E835" s="5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54"/>
      <c r="D836" s="54"/>
      <c r="E836" s="5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54"/>
      <c r="D837" s="54"/>
      <c r="E837" s="5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54"/>
      <c r="D838" s="54"/>
      <c r="E838" s="5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54"/>
      <c r="D839" s="54"/>
      <c r="E839" s="5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54"/>
      <c r="D840" s="54"/>
      <c r="E840" s="5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54"/>
      <c r="D841" s="54"/>
      <c r="E841" s="5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54"/>
      <c r="D842" s="54"/>
      <c r="E842" s="5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54"/>
      <c r="D843" s="54"/>
      <c r="E843" s="5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54"/>
      <c r="D844" s="54"/>
      <c r="E844" s="5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54"/>
      <c r="D845" s="54"/>
      <c r="E845" s="5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54"/>
      <c r="D846" s="54"/>
      <c r="E846" s="5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54"/>
      <c r="D847" s="54"/>
      <c r="E847" s="5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54"/>
      <c r="D848" s="54"/>
      <c r="E848" s="5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54"/>
      <c r="D849" s="54"/>
      <c r="E849" s="5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54"/>
      <c r="D850" s="54"/>
      <c r="E850" s="5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54"/>
      <c r="D851" s="54"/>
      <c r="E851" s="5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54"/>
      <c r="D852" s="54"/>
      <c r="E852" s="5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54"/>
      <c r="D853" s="54"/>
      <c r="E853" s="5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54"/>
      <c r="D854" s="54"/>
      <c r="E854" s="5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54"/>
      <c r="D855" s="54"/>
      <c r="E855" s="5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54"/>
      <c r="D856" s="54"/>
      <c r="E856" s="5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54"/>
      <c r="D857" s="54"/>
      <c r="E857" s="5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54"/>
      <c r="D858" s="54"/>
      <c r="E858" s="5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54"/>
      <c r="D859" s="54"/>
      <c r="E859" s="5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54"/>
      <c r="D860" s="54"/>
      <c r="E860" s="5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54"/>
      <c r="D861" s="54"/>
      <c r="E861" s="5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54"/>
      <c r="D862" s="54"/>
      <c r="E862" s="5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54"/>
      <c r="D863" s="54"/>
      <c r="E863" s="5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54"/>
      <c r="D864" s="54"/>
      <c r="E864" s="5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54"/>
      <c r="D865" s="54"/>
      <c r="E865" s="5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54"/>
      <c r="D866" s="54"/>
      <c r="E866" s="5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54"/>
      <c r="D867" s="54"/>
      <c r="E867" s="5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54"/>
      <c r="D868" s="54"/>
      <c r="E868" s="5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54"/>
      <c r="D869" s="54"/>
      <c r="E869" s="5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54"/>
      <c r="D870" s="54"/>
      <c r="E870" s="5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54"/>
      <c r="D871" s="54"/>
      <c r="E871" s="5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54"/>
      <c r="D872" s="54"/>
      <c r="E872" s="5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54"/>
      <c r="D873" s="54"/>
      <c r="E873" s="5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54"/>
      <c r="D874" s="54"/>
      <c r="E874" s="5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54"/>
      <c r="D875" s="54"/>
      <c r="E875" s="5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54"/>
      <c r="D876" s="54"/>
      <c r="E876" s="5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54"/>
      <c r="D877" s="54"/>
      <c r="E877" s="5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54"/>
      <c r="D878" s="54"/>
      <c r="E878" s="5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54"/>
      <c r="D879" s="54"/>
      <c r="E879" s="5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54"/>
      <c r="D880" s="54"/>
      <c r="E880" s="5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54"/>
      <c r="D881" s="54"/>
      <c r="E881" s="5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54"/>
      <c r="D882" s="54"/>
      <c r="E882" s="5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54"/>
      <c r="D883" s="54"/>
      <c r="E883" s="5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54"/>
      <c r="D884" s="54"/>
      <c r="E884" s="5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54"/>
      <c r="D885" s="54"/>
      <c r="E885" s="5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54"/>
      <c r="D886" s="54"/>
      <c r="E886" s="5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54"/>
      <c r="D887" s="54"/>
      <c r="E887" s="5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54"/>
      <c r="D888" s="54"/>
      <c r="E888" s="5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54"/>
      <c r="D889" s="54"/>
      <c r="E889" s="5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54"/>
      <c r="D890" s="54"/>
      <c r="E890" s="5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54"/>
      <c r="D891" s="54"/>
      <c r="E891" s="5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54"/>
      <c r="D892" s="54"/>
      <c r="E892" s="5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54"/>
      <c r="D893" s="54"/>
      <c r="E893" s="5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54"/>
      <c r="D894" s="54"/>
      <c r="E894" s="5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54"/>
      <c r="D895" s="54"/>
      <c r="E895" s="5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54"/>
      <c r="D896" s="54"/>
      <c r="E896" s="5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54"/>
      <c r="D897" s="54"/>
      <c r="E897" s="5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54"/>
      <c r="D898" s="54"/>
      <c r="E898" s="5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54"/>
      <c r="D899" s="54"/>
      <c r="E899" s="5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54"/>
      <c r="D900" s="54"/>
      <c r="E900" s="5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54"/>
      <c r="D901" s="54"/>
      <c r="E901" s="5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54"/>
      <c r="D902" s="54"/>
      <c r="E902" s="5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54"/>
      <c r="D903" s="54"/>
      <c r="E903" s="5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54"/>
      <c r="D904" s="54"/>
      <c r="E904" s="5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54"/>
      <c r="D905" s="54"/>
      <c r="E905" s="5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54"/>
      <c r="D906" s="54"/>
      <c r="E906" s="5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54"/>
      <c r="D907" s="54"/>
      <c r="E907" s="5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54"/>
      <c r="D908" s="54"/>
      <c r="E908" s="5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54"/>
      <c r="D909" s="54"/>
      <c r="E909" s="5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54"/>
      <c r="D910" s="54"/>
      <c r="E910" s="5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54"/>
      <c r="D911" s="54"/>
      <c r="E911" s="5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54"/>
      <c r="D912" s="54"/>
      <c r="E912" s="5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54"/>
      <c r="D913" s="54"/>
      <c r="E913" s="5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54"/>
      <c r="D914" s="54"/>
      <c r="E914" s="5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54"/>
      <c r="D915" s="54"/>
      <c r="E915" s="5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54"/>
      <c r="D916" s="54"/>
      <c r="E916" s="5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54"/>
      <c r="D917" s="54"/>
      <c r="E917" s="5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54"/>
      <c r="D918" s="54"/>
      <c r="E918" s="5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54"/>
      <c r="D919" s="54"/>
      <c r="E919" s="5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54"/>
      <c r="D920" s="54"/>
      <c r="E920" s="5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54"/>
      <c r="D921" s="54"/>
      <c r="E921" s="5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54"/>
      <c r="D922" s="54"/>
      <c r="E922" s="5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54"/>
      <c r="D923" s="54"/>
      <c r="E923" s="5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54"/>
      <c r="D924" s="54"/>
      <c r="E924" s="5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54"/>
      <c r="D925" s="54"/>
      <c r="E925" s="5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54"/>
      <c r="D926" s="54"/>
      <c r="E926" s="5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54"/>
      <c r="D927" s="54"/>
      <c r="E927" s="5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54"/>
      <c r="D928" s="54"/>
      <c r="E928" s="5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54"/>
      <c r="D929" s="54"/>
      <c r="E929" s="5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54"/>
      <c r="D930" s="54"/>
      <c r="E930" s="5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54"/>
      <c r="D931" s="54"/>
      <c r="E931" s="5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54"/>
      <c r="D932" s="54"/>
      <c r="E932" s="5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54"/>
      <c r="D933" s="54"/>
      <c r="E933" s="5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54"/>
      <c r="D934" s="54"/>
      <c r="E934" s="5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54"/>
      <c r="D935" s="54"/>
      <c r="E935" s="5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54"/>
      <c r="D936" s="54"/>
      <c r="E936" s="5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54"/>
      <c r="D937" s="54"/>
      <c r="E937" s="5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54"/>
      <c r="D938" s="54"/>
      <c r="E938" s="5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54"/>
      <c r="D939" s="54"/>
      <c r="E939" s="5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54"/>
      <c r="D940" s="54"/>
      <c r="E940" s="5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54"/>
      <c r="D941" s="54"/>
      <c r="E941" s="5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54"/>
      <c r="D942" s="54"/>
      <c r="E942" s="5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54"/>
      <c r="D943" s="54"/>
      <c r="E943" s="5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54"/>
      <c r="D944" s="54"/>
      <c r="E944" s="5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54"/>
      <c r="D945" s="54"/>
      <c r="E945" s="5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54"/>
      <c r="D946" s="54"/>
      <c r="E946" s="5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54"/>
      <c r="D947" s="54"/>
      <c r="E947" s="5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54"/>
      <c r="D948" s="54"/>
      <c r="E948" s="5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54"/>
      <c r="D949" s="54"/>
      <c r="E949" s="5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54"/>
      <c r="D950" s="54"/>
      <c r="E950" s="5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54"/>
      <c r="D951" s="54"/>
      <c r="E951" s="5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54"/>
      <c r="D952" s="54"/>
      <c r="E952" s="5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54"/>
      <c r="D953" s="54"/>
      <c r="E953" s="5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54"/>
      <c r="D954" s="54"/>
      <c r="E954" s="5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54"/>
      <c r="D955" s="54"/>
      <c r="E955" s="5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54"/>
      <c r="D956" s="54"/>
      <c r="E956" s="5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54"/>
      <c r="D957" s="54"/>
      <c r="E957" s="5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54"/>
      <c r="D958" s="54"/>
      <c r="E958" s="5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54"/>
      <c r="D959" s="54"/>
      <c r="E959" s="5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54"/>
      <c r="D960" s="54"/>
      <c r="E960" s="5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54"/>
      <c r="D961" s="54"/>
      <c r="E961" s="5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54"/>
      <c r="D962" s="54"/>
      <c r="E962" s="5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54"/>
      <c r="D963" s="54"/>
      <c r="E963" s="5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54"/>
      <c r="D964" s="54"/>
      <c r="E964" s="5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54"/>
      <c r="D965" s="54"/>
      <c r="E965" s="5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54"/>
      <c r="D966" s="54"/>
      <c r="E966" s="54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54"/>
      <c r="D967" s="54"/>
      <c r="E967" s="54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54"/>
      <c r="D968" s="54"/>
      <c r="E968" s="54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54"/>
      <c r="D969" s="54"/>
      <c r="E969" s="54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54"/>
      <c r="D970" s="54"/>
      <c r="E970" s="54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54"/>
      <c r="D971" s="54"/>
      <c r="E971" s="54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54"/>
      <c r="D972" s="54"/>
      <c r="E972" s="54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54"/>
      <c r="D973" s="54"/>
      <c r="E973" s="54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54"/>
      <c r="D974" s="54"/>
      <c r="E974" s="54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54"/>
      <c r="D975" s="54"/>
      <c r="E975" s="54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54"/>
      <c r="D976" s="54"/>
      <c r="E976" s="54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54"/>
      <c r="D977" s="54"/>
      <c r="E977" s="54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54"/>
      <c r="D978" s="54"/>
      <c r="E978" s="54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54"/>
      <c r="D979" s="54"/>
      <c r="E979" s="54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54"/>
      <c r="D980" s="54"/>
      <c r="E980" s="54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54"/>
      <c r="D981" s="54"/>
      <c r="E981" s="54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54"/>
      <c r="D982" s="54"/>
      <c r="E982" s="54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54"/>
      <c r="D983" s="54"/>
      <c r="E983" s="54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54"/>
      <c r="D984" s="54"/>
      <c r="E984" s="54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54"/>
      <c r="D985" s="54"/>
      <c r="E985" s="54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54"/>
      <c r="D986" s="54"/>
      <c r="E986" s="54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54"/>
      <c r="D987" s="54"/>
      <c r="E987" s="54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54"/>
      <c r="D988" s="54"/>
      <c r="E988" s="54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54"/>
      <c r="D989" s="54"/>
      <c r="E989" s="54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54"/>
      <c r="D990" s="54"/>
      <c r="E990" s="54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54"/>
      <c r="D991" s="54"/>
      <c r="E991" s="54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54"/>
      <c r="D992" s="54"/>
      <c r="E992" s="54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54"/>
      <c r="D993" s="54"/>
      <c r="E993" s="54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54"/>
      <c r="D994" s="54"/>
      <c r="E994" s="54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54"/>
      <c r="D995" s="54"/>
      <c r="E995" s="54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54"/>
      <c r="D996" s="54"/>
      <c r="E996" s="54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54"/>
      <c r="D997" s="54"/>
      <c r="E997" s="54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54"/>
      <c r="D998" s="54"/>
      <c r="E998" s="54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54"/>
      <c r="D999" s="54"/>
      <c r="E999" s="54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54"/>
      <c r="D1000" s="54"/>
      <c r="E1000" s="54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5.75" customHeight="1">
      <c r="A1001" s="6"/>
      <c r="B1001" s="6"/>
      <c r="C1001" s="54"/>
      <c r="D1001" s="54"/>
      <c r="E1001" s="54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5.75" customHeight="1">
      <c r="A1002" s="6"/>
      <c r="B1002" s="6"/>
      <c r="C1002" s="54"/>
      <c r="D1002" s="54"/>
      <c r="E1002" s="54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5.75" customHeight="1">
      <c r="A1003" s="6"/>
      <c r="B1003" s="6"/>
      <c r="C1003" s="54"/>
      <c r="D1003" s="54"/>
      <c r="E1003" s="54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5.75" customHeight="1">
      <c r="A1004" s="6"/>
      <c r="B1004" s="6"/>
      <c r="C1004" s="54"/>
      <c r="D1004" s="54"/>
      <c r="E1004" s="54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5.75" customHeight="1">
      <c r="A1005" s="6"/>
      <c r="B1005" s="6"/>
      <c r="C1005" s="54"/>
      <c r="D1005" s="54"/>
      <c r="E1005" s="54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15.75" customHeight="1">
      <c r="A1006" s="6"/>
      <c r="B1006" s="6"/>
      <c r="C1006" s="54"/>
      <c r="D1006" s="54"/>
      <c r="E1006" s="54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15.75" customHeight="1">
      <c r="A1007" s="6"/>
      <c r="B1007" s="6"/>
      <c r="C1007" s="54"/>
      <c r="D1007" s="54"/>
      <c r="E1007" s="54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15.75" customHeight="1">
      <c r="A1008" s="6"/>
      <c r="B1008" s="6"/>
      <c r="C1008" s="54"/>
      <c r="D1008" s="54"/>
      <c r="E1008" s="54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15.75" customHeight="1">
      <c r="A1009" s="6"/>
      <c r="B1009" s="6"/>
      <c r="C1009" s="54"/>
      <c r="D1009" s="54"/>
      <c r="E1009" s="54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15.75" customHeight="1">
      <c r="A1010" s="6"/>
      <c r="B1010" s="6"/>
      <c r="C1010" s="54"/>
      <c r="D1010" s="54"/>
      <c r="E1010" s="54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15.75" customHeight="1">
      <c r="A1011" s="6"/>
      <c r="B1011" s="6"/>
      <c r="C1011" s="54"/>
      <c r="D1011" s="54"/>
      <c r="E1011" s="54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15.75" customHeight="1">
      <c r="A1012" s="6"/>
      <c r="B1012" s="6"/>
      <c r="C1012" s="54"/>
      <c r="D1012" s="54"/>
      <c r="E1012" s="54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15.75" customHeight="1">
      <c r="A1013" s="6"/>
      <c r="B1013" s="6"/>
      <c r="C1013" s="54"/>
      <c r="D1013" s="54"/>
      <c r="E1013" s="54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15.75" customHeight="1">
      <c r="A1014" s="6"/>
      <c r="B1014" s="6"/>
      <c r="C1014" s="54"/>
      <c r="D1014" s="54"/>
      <c r="E1014" s="54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15.75" customHeight="1">
      <c r="A1015" s="6"/>
      <c r="B1015" s="6"/>
      <c r="C1015" s="54"/>
      <c r="D1015" s="54"/>
      <c r="E1015" s="54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ht="15.75" customHeight="1">
      <c r="A1016" s="6"/>
      <c r="B1016" s="6"/>
      <c r="C1016" s="54"/>
      <c r="D1016" s="54"/>
      <c r="E1016" s="54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ht="15.75" customHeight="1">
      <c r="A1017" s="6"/>
      <c r="B1017" s="6"/>
      <c r="C1017" s="54"/>
      <c r="D1017" s="54"/>
      <c r="E1017" s="54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ht="15.75" customHeight="1">
      <c r="A1018" s="6"/>
      <c r="B1018" s="6"/>
      <c r="C1018" s="54"/>
      <c r="D1018" s="54"/>
      <c r="E1018" s="54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ht="15.75" customHeight="1">
      <c r="A1019" s="6"/>
      <c r="B1019" s="6"/>
      <c r="C1019" s="54"/>
      <c r="D1019" s="54"/>
      <c r="E1019" s="54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ht="15.75" customHeight="1">
      <c r="A1020" s="6"/>
      <c r="B1020" s="6"/>
      <c r="C1020" s="54"/>
      <c r="D1020" s="54"/>
      <c r="E1020" s="54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ht="15.75" customHeight="1">
      <c r="A1021" s="6"/>
      <c r="B1021" s="6"/>
      <c r="C1021" s="54"/>
      <c r="D1021" s="54"/>
      <c r="E1021" s="54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ht="15.75" customHeight="1">
      <c r="A1022" s="6"/>
      <c r="B1022" s="6"/>
      <c r="C1022" s="54"/>
      <c r="D1022" s="54"/>
      <c r="E1022" s="54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ht="15.75" customHeight="1">
      <c r="A1023" s="6"/>
      <c r="B1023" s="6"/>
      <c r="C1023" s="54"/>
      <c r="D1023" s="54"/>
      <c r="E1023" s="54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ht="15.75" customHeight="1">
      <c r="A1024" s="6"/>
      <c r="B1024" s="6"/>
      <c r="C1024" s="54"/>
      <c r="D1024" s="54"/>
      <c r="E1024" s="54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ht="15.75" customHeight="1">
      <c r="A1025" s="6"/>
      <c r="B1025" s="6"/>
      <c r="C1025" s="54"/>
      <c r="D1025" s="54"/>
      <c r="E1025" s="54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ht="15.75" customHeight="1">
      <c r="A1026" s="6"/>
      <c r="B1026" s="6"/>
      <c r="C1026" s="54"/>
      <c r="D1026" s="54"/>
      <c r="E1026" s="54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ht="15.75" customHeight="1">
      <c r="A1027" s="6"/>
      <c r="B1027" s="6"/>
      <c r="C1027" s="54"/>
      <c r="D1027" s="54"/>
      <c r="E1027" s="54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ht="15.75" customHeight="1">
      <c r="A1028" s="6"/>
      <c r="B1028" s="6"/>
      <c r="C1028" s="54"/>
      <c r="D1028" s="54"/>
      <c r="E1028" s="54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ht="15.75" customHeight="1">
      <c r="A1029" s="6"/>
      <c r="B1029" s="6"/>
      <c r="C1029" s="54"/>
      <c r="D1029" s="54"/>
      <c r="E1029" s="54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ht="15.75" customHeight="1">
      <c r="A1030" s="6"/>
      <c r="B1030" s="6"/>
      <c r="C1030" s="54"/>
      <c r="D1030" s="54"/>
      <c r="E1030" s="54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ht="15.75" customHeight="1">
      <c r="A1031" s="6"/>
      <c r="B1031" s="6"/>
      <c r="C1031" s="54"/>
      <c r="D1031" s="54"/>
      <c r="E1031" s="54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ht="15.75" customHeight="1">
      <c r="A1032" s="6"/>
      <c r="B1032" s="6"/>
      <c r="C1032" s="54"/>
      <c r="D1032" s="54"/>
      <c r="E1032" s="54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ht="15.75" customHeight="1">
      <c r="A1033" s="6"/>
      <c r="B1033" s="6"/>
      <c r="C1033" s="54"/>
      <c r="D1033" s="54"/>
      <c r="E1033" s="54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ht="15.75" customHeight="1">
      <c r="A1034" s="6"/>
      <c r="B1034" s="6"/>
      <c r="C1034" s="54"/>
      <c r="D1034" s="54"/>
      <c r="E1034" s="54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ht="15.75" customHeight="1">
      <c r="A1035" s="6"/>
      <c r="B1035" s="6"/>
      <c r="C1035" s="54"/>
      <c r="D1035" s="54"/>
      <c r="E1035" s="54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ht="15.75" customHeight="1">
      <c r="A1036" s="6"/>
      <c r="B1036" s="6"/>
      <c r="C1036" s="54"/>
      <c r="D1036" s="54"/>
      <c r="E1036" s="54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ht="15.75" customHeight="1">
      <c r="A1037" s="6"/>
      <c r="B1037" s="6"/>
      <c r="C1037" s="54"/>
      <c r="D1037" s="54"/>
      <c r="E1037" s="54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ht="15.75" customHeight="1">
      <c r="A1038" s="6"/>
      <c r="B1038" s="6"/>
      <c r="C1038" s="54"/>
      <c r="D1038" s="54"/>
      <c r="E1038" s="54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ht="15.75" customHeight="1">
      <c r="A1039" s="6"/>
      <c r="B1039" s="6"/>
      <c r="C1039" s="54"/>
      <c r="D1039" s="54"/>
      <c r="E1039" s="54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ht="15.75" customHeight="1">
      <c r="A1040" s="6"/>
      <c r="B1040" s="6"/>
      <c r="C1040" s="54"/>
      <c r="D1040" s="54"/>
      <c r="E1040" s="54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ht="15.75" customHeight="1">
      <c r="A1041" s="6"/>
      <c r="B1041" s="6"/>
      <c r="C1041" s="54"/>
      <c r="D1041" s="54"/>
      <c r="E1041" s="54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ht="15.75" customHeight="1">
      <c r="A1042" s="6"/>
      <c r="B1042" s="6"/>
      <c r="C1042" s="54"/>
      <c r="D1042" s="54"/>
      <c r="E1042" s="54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ht="15.75" customHeight="1">
      <c r="A1043" s="6"/>
      <c r="B1043" s="6"/>
      <c r="C1043" s="54"/>
      <c r="D1043" s="54"/>
      <c r="E1043" s="54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ht="15.75" customHeight="1">
      <c r="A1044" s="6"/>
      <c r="B1044" s="6"/>
      <c r="C1044" s="54"/>
      <c r="D1044" s="54"/>
      <c r="E1044" s="54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ht="15.75" customHeight="1">
      <c r="A1045" s="6"/>
      <c r="B1045" s="6"/>
      <c r="C1045" s="54"/>
      <c r="D1045" s="54"/>
      <c r="E1045" s="54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ht="15.75" customHeight="1">
      <c r="A1046" s="6"/>
      <c r="B1046" s="6"/>
      <c r="C1046" s="54"/>
      <c r="D1046" s="54"/>
      <c r="E1046" s="54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ht="15.75" customHeight="1">
      <c r="A1047" s="6"/>
      <c r="B1047" s="6"/>
      <c r="C1047" s="54"/>
      <c r="D1047" s="54"/>
      <c r="E1047" s="54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ht="15.75" customHeight="1">
      <c r="A1048" s="6"/>
      <c r="B1048" s="6"/>
      <c r="C1048" s="54"/>
      <c r="D1048" s="54"/>
      <c r="E1048" s="54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ht="15.75" customHeight="1">
      <c r="A1049" s="6"/>
      <c r="B1049" s="6"/>
      <c r="C1049" s="54"/>
      <c r="D1049" s="54"/>
      <c r="E1049" s="54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ht="15.75" customHeight="1">
      <c r="A1050" s="6"/>
      <c r="B1050" s="6"/>
      <c r="C1050" s="54"/>
      <c r="D1050" s="54"/>
      <c r="E1050" s="54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ht="15.75" customHeight="1">
      <c r="A1051" s="6"/>
      <c r="B1051" s="6"/>
      <c r="C1051" s="54"/>
      <c r="D1051" s="54"/>
      <c r="E1051" s="54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ht="15.75" customHeight="1">
      <c r="A1052" s="6"/>
      <c r="B1052" s="6"/>
      <c r="C1052" s="54"/>
      <c r="D1052" s="54"/>
      <c r="E1052" s="54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ht="15.75" customHeight="1">
      <c r="A1053" s="6"/>
      <c r="B1053" s="6"/>
      <c r="C1053" s="54"/>
      <c r="D1053" s="54"/>
      <c r="E1053" s="54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ht="15.75" customHeight="1">
      <c r="A1054" s="6"/>
      <c r="B1054" s="6"/>
      <c r="C1054" s="54"/>
      <c r="D1054" s="54"/>
      <c r="E1054" s="54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ht="15.75" customHeight="1">
      <c r="A1055" s="6"/>
      <c r="B1055" s="6"/>
      <c r="C1055" s="54"/>
      <c r="D1055" s="54"/>
      <c r="E1055" s="54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ht="15.75" customHeight="1">
      <c r="A1056" s="6"/>
      <c r="B1056" s="6"/>
      <c r="C1056" s="54"/>
      <c r="D1056" s="54"/>
      <c r="E1056" s="54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ht="15.75" customHeight="1">
      <c r="A1057" s="6"/>
      <c r="B1057" s="6"/>
      <c r="C1057" s="54"/>
      <c r="D1057" s="54"/>
      <c r="E1057" s="54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ht="15.75" customHeight="1">
      <c r="A1058" s="6"/>
      <c r="B1058" s="6"/>
      <c r="C1058" s="54"/>
      <c r="D1058" s="54"/>
      <c r="E1058" s="54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ht="15.75" customHeight="1">
      <c r="A1059" s="6"/>
      <c r="B1059" s="6"/>
      <c r="C1059" s="54"/>
      <c r="D1059" s="54"/>
      <c r="E1059" s="54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ht="15.75" customHeight="1">
      <c r="A1060" s="6"/>
      <c r="B1060" s="6"/>
      <c r="C1060" s="54"/>
      <c r="D1060" s="54"/>
      <c r="E1060" s="54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ht="15.75" customHeight="1">
      <c r="A1061" s="6"/>
      <c r="B1061" s="6"/>
      <c r="C1061" s="54"/>
      <c r="D1061" s="54"/>
      <c r="E1061" s="54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ht="15.75" customHeight="1">
      <c r="A1062" s="6"/>
      <c r="B1062" s="6"/>
      <c r="C1062" s="54"/>
      <c r="D1062" s="54"/>
      <c r="E1062" s="54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ht="15.75" customHeight="1">
      <c r="A1063" s="6"/>
      <c r="B1063" s="6"/>
      <c r="C1063" s="54"/>
      <c r="D1063" s="54"/>
      <c r="E1063" s="54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ht="15.75" customHeight="1">
      <c r="A1064" s="6"/>
      <c r="B1064" s="6"/>
      <c r="C1064" s="54"/>
      <c r="D1064" s="54"/>
      <c r="E1064" s="54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ht="15.75" customHeight="1">
      <c r="A1065" s="6"/>
      <c r="B1065" s="6"/>
      <c r="C1065" s="54"/>
      <c r="D1065" s="54"/>
      <c r="E1065" s="54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ht="15.75" customHeight="1">
      <c r="A1066" s="6"/>
      <c r="B1066" s="6"/>
      <c r="C1066" s="54"/>
      <c r="D1066" s="54"/>
      <c r="E1066" s="54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ht="15.75" customHeight="1">
      <c r="A1067" s="6"/>
      <c r="B1067" s="6"/>
      <c r="C1067" s="54"/>
      <c r="D1067" s="54"/>
      <c r="E1067" s="54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ht="15.75" customHeight="1">
      <c r="A1068" s="6"/>
      <c r="B1068" s="6"/>
      <c r="C1068" s="54"/>
      <c r="D1068" s="54"/>
      <c r="E1068" s="54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ht="15.75" customHeight="1">
      <c r="A1069" s="6"/>
      <c r="B1069" s="6"/>
      <c r="C1069" s="54"/>
      <c r="D1069" s="54"/>
      <c r="E1069" s="54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ht="15.75" customHeight="1">
      <c r="A1070" s="6"/>
      <c r="B1070" s="6"/>
      <c r="C1070" s="54"/>
      <c r="D1070" s="54"/>
      <c r="E1070" s="54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ht="15.75" customHeight="1">
      <c r="A1071" s="6"/>
      <c r="B1071" s="6"/>
      <c r="C1071" s="54"/>
      <c r="D1071" s="54"/>
      <c r="E1071" s="54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ht="15.75" customHeight="1">
      <c r="A1072" s="6"/>
      <c r="B1072" s="6"/>
      <c r="C1072" s="54"/>
      <c r="D1072" s="54"/>
      <c r="E1072" s="54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ht="15.75" customHeight="1">
      <c r="A1073" s="6"/>
      <c r="B1073" s="6"/>
      <c r="C1073" s="54"/>
      <c r="D1073" s="54"/>
      <c r="E1073" s="54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ht="15.75" customHeight="1">
      <c r="A1074" s="6"/>
      <c r="B1074" s="6"/>
      <c r="C1074" s="54"/>
      <c r="D1074" s="54"/>
      <c r="E1074" s="54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ht="15.75" customHeight="1">
      <c r="A1075" s="6"/>
      <c r="B1075" s="6"/>
      <c r="C1075" s="54"/>
      <c r="D1075" s="54"/>
      <c r="E1075" s="54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ht="15.75" customHeight="1">
      <c r="A1076" s="6"/>
      <c r="B1076" s="6"/>
      <c r="C1076" s="54"/>
      <c r="D1076" s="54"/>
      <c r="E1076" s="54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ht="15.75" customHeight="1">
      <c r="A1077" s="6"/>
      <c r="B1077" s="6"/>
      <c r="C1077" s="54"/>
      <c r="D1077" s="54"/>
      <c r="E1077" s="54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ht="15.75" customHeight="1">
      <c r="A1078" s="6"/>
      <c r="B1078" s="6"/>
      <c r="C1078" s="54"/>
      <c r="D1078" s="54"/>
      <c r="E1078" s="54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ht="15.75" customHeight="1">
      <c r="A1079" s="6"/>
      <c r="B1079" s="6"/>
      <c r="C1079" s="54"/>
      <c r="D1079" s="54"/>
      <c r="E1079" s="54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ht="15.75" customHeight="1">
      <c r="A1080" s="6"/>
      <c r="B1080" s="6"/>
      <c r="C1080" s="54"/>
      <c r="D1080" s="54"/>
      <c r="E1080" s="54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 ht="15.75" customHeight="1">
      <c r="A1081" s="6"/>
      <c r="B1081" s="6"/>
      <c r="C1081" s="54"/>
      <c r="D1081" s="54"/>
      <c r="E1081" s="54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 ht="15.75" customHeight="1">
      <c r="A1082" s="6"/>
      <c r="B1082" s="6"/>
      <c r="C1082" s="54"/>
      <c r="D1082" s="54"/>
      <c r="E1082" s="54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 ht="15.75" customHeight="1">
      <c r="A1083" s="6"/>
      <c r="B1083" s="6"/>
      <c r="C1083" s="54"/>
      <c r="D1083" s="54"/>
      <c r="E1083" s="54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 ht="15.75" customHeight="1">
      <c r="A1084" s="6"/>
      <c r="B1084" s="6"/>
      <c r="C1084" s="54"/>
      <c r="D1084" s="54"/>
      <c r="E1084" s="54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 ht="15.75" customHeight="1">
      <c r="A1085" s="6"/>
      <c r="B1085" s="6"/>
      <c r="C1085" s="54"/>
      <c r="D1085" s="54"/>
      <c r="E1085" s="54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 ht="15.75" customHeight="1">
      <c r="A1086" s="6"/>
      <c r="B1086" s="6"/>
      <c r="C1086" s="54"/>
      <c r="D1086" s="54"/>
      <c r="E1086" s="54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 ht="15.75" customHeight="1">
      <c r="A1087" s="6"/>
      <c r="B1087" s="6"/>
      <c r="C1087" s="54"/>
      <c r="D1087" s="54"/>
      <c r="E1087" s="54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 ht="15.75" customHeight="1">
      <c r="A1088" s="6"/>
      <c r="B1088" s="6"/>
      <c r="C1088" s="54"/>
      <c r="D1088" s="54"/>
      <c r="E1088" s="54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 ht="15.75" customHeight="1">
      <c r="A1089" s="6"/>
      <c r="B1089" s="6"/>
      <c r="C1089" s="54"/>
      <c r="D1089" s="54"/>
      <c r="E1089" s="54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 ht="15.75" customHeight="1">
      <c r="A1090" s="6"/>
      <c r="B1090" s="6"/>
      <c r="C1090" s="54"/>
      <c r="D1090" s="54"/>
      <c r="E1090" s="54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 ht="15.75" customHeight="1">
      <c r="A1091" s="6"/>
      <c r="B1091" s="6"/>
      <c r="C1091" s="55"/>
      <c r="D1091" s="55"/>
      <c r="E1091" s="55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 ht="15.75" customHeight="1">
      <c r="A1092" s="6"/>
      <c r="B1092" s="6"/>
      <c r="C1092" s="55"/>
      <c r="D1092" s="55"/>
      <c r="E1092" s="55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 ht="15.75" customHeight="1">
      <c r="A1093" s="6"/>
      <c r="B1093" s="6"/>
      <c r="C1093" s="55"/>
      <c r="D1093" s="55"/>
      <c r="E1093" s="55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 ht="15.75" customHeight="1">
      <c r="A1094" s="56"/>
      <c r="B1094" s="56"/>
      <c r="C1094" s="55"/>
      <c r="D1094" s="55"/>
      <c r="E1094" s="55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 ht="15.75" customHeight="1">
      <c r="A1095" s="56"/>
      <c r="B1095" s="56"/>
      <c r="C1095" s="55"/>
      <c r="D1095" s="55"/>
      <c r="E1095" s="55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 ht="15.75" customHeight="1">
      <c r="A1096" s="56"/>
      <c r="B1096" s="56"/>
      <c r="C1096" s="55"/>
      <c r="D1096" s="55"/>
      <c r="E1096" s="55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 ht="15.75" customHeight="1">
      <c r="A1097" s="56"/>
      <c r="B1097" s="56"/>
      <c r="C1097" s="55"/>
      <c r="D1097" s="55"/>
      <c r="E1097" s="55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 ht="15.75" customHeight="1">
      <c r="A1098" s="57"/>
      <c r="B1098" s="57"/>
      <c r="C1098" s="55"/>
      <c r="D1098" s="55"/>
      <c r="E1098" s="55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</sheetData>
  <printOptions/>
  <pageMargins bottom="0.75" footer="0.0" header="0.0" left="0.7" right="0.7" top="0.75"/>
  <pageSetup orientation="landscape"/>
  <drawing r:id="rId1"/>
</worksheet>
</file>